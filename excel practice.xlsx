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Aditi\OneDrive\Desktop\Data Analysis\statistics\"/>
    </mc:Choice>
  </mc:AlternateContent>
  <bookViews>
    <workbookView xWindow="0" yWindow="0" windowWidth="23040" windowHeight="9072"/>
  </bookViews>
  <sheets>
    <sheet name="descriptive template" sheetId="4" r:id="rId1"/>
    <sheet name="chisquare template" sheetId="6" r:id="rId2"/>
    <sheet name="chisquare table" sheetId="5" r:id="rId3"/>
    <sheet name="hypothesis" sheetId="3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5" i="6" l="1"/>
  <c r="C24" i="6"/>
  <c r="O10" i="4" l="1"/>
  <c r="F20" i="3"/>
  <c r="F19" i="3"/>
  <c r="F18" i="3"/>
  <c r="P9" i="4" l="1"/>
  <c r="I28" i="4"/>
  <c r="I27" i="4"/>
  <c r="I26" i="4"/>
  <c r="H26" i="4"/>
  <c r="H27" i="4"/>
  <c r="H56" i="4"/>
  <c r="F56" i="4"/>
  <c r="E52" i="4"/>
  <c r="E51" i="4"/>
  <c r="E50" i="4"/>
  <c r="O45" i="4" s="1"/>
  <c r="E49" i="4"/>
  <c r="G48" i="4"/>
  <c r="G49" i="4" s="1"/>
  <c r="E48" i="4"/>
  <c r="H28" i="4"/>
  <c r="O9" i="4"/>
  <c r="I11" i="4"/>
  <c r="I12" i="4"/>
  <c r="I13" i="4"/>
  <c r="I14" i="4"/>
  <c r="I10" i="4"/>
  <c r="I16" i="4" s="1"/>
  <c r="H11" i="4"/>
  <c r="H12" i="4"/>
  <c r="H13" i="4"/>
  <c r="H14" i="4"/>
  <c r="H10" i="4"/>
  <c r="G11" i="4"/>
  <c r="G12" i="4"/>
  <c r="G13" i="4"/>
  <c r="G14" i="4"/>
  <c r="G10" i="4"/>
  <c r="V8" i="6"/>
  <c r="V11" i="6"/>
  <c r="E14" i="6"/>
  <c r="K14" i="6"/>
  <c r="Q14" i="6"/>
  <c r="C16" i="4"/>
  <c r="D14" i="4"/>
  <c r="D13" i="4"/>
  <c r="D12" i="4"/>
  <c r="D11" i="4"/>
  <c r="D10" i="4"/>
  <c r="L9" i="4"/>
  <c r="J9" i="4"/>
  <c r="Q9" i="4" s="1"/>
  <c r="H16" i="4" l="1"/>
  <c r="J26" i="4"/>
  <c r="J28" i="4"/>
  <c r="J27" i="4"/>
  <c r="N45" i="4"/>
  <c r="I51" i="4" s="1"/>
  <c r="G50" i="4"/>
  <c r="G51" i="4" s="1"/>
  <c r="V14" i="6"/>
  <c r="L8" i="6" s="1"/>
  <c r="M8" i="6" s="1"/>
  <c r="N8" i="6" s="1"/>
  <c r="O8" i="6" s="1"/>
  <c r="G16" i="4"/>
  <c r="M9" i="4" s="1"/>
  <c r="N9" i="4"/>
  <c r="J51" i="4" l="1"/>
  <c r="K51" i="4" s="1"/>
  <c r="M51" i="4"/>
  <c r="L51" i="4"/>
  <c r="G52" i="4"/>
  <c r="G56" i="4" s="1"/>
  <c r="P45" i="4"/>
  <c r="R8" i="6"/>
  <c r="S8" i="6" s="1"/>
  <c r="T8" i="6" s="1"/>
  <c r="U8" i="6" s="1"/>
  <c r="I52" i="4"/>
  <c r="I49" i="4"/>
  <c r="I50" i="4"/>
  <c r="I48" i="4"/>
  <c r="F8" i="6"/>
  <c r="G8" i="6" s="1"/>
  <c r="H8" i="6" s="1"/>
  <c r="I8" i="6" s="1"/>
  <c r="F11" i="6"/>
  <c r="G11" i="6" s="1"/>
  <c r="H11" i="6" s="1"/>
  <c r="I11" i="6" s="1"/>
  <c r="R11" i="6"/>
  <c r="S11" i="6" s="1"/>
  <c r="T11" i="6" s="1"/>
  <c r="U11" i="6" s="1"/>
  <c r="L11" i="6"/>
  <c r="M11" i="6" s="1"/>
  <c r="N11" i="6" s="1"/>
  <c r="O11" i="6" s="1"/>
  <c r="J48" i="4" l="1"/>
  <c r="L48" i="4"/>
  <c r="M48" i="4"/>
  <c r="I56" i="4"/>
  <c r="J50" i="4"/>
  <c r="K50" i="4" s="1"/>
  <c r="M50" i="4"/>
  <c r="L50" i="4"/>
  <c r="J49" i="4"/>
  <c r="K49" i="4" s="1"/>
  <c r="M49" i="4"/>
  <c r="L49" i="4"/>
  <c r="J52" i="4"/>
  <c r="K52" i="4" s="1"/>
  <c r="L52" i="4"/>
  <c r="M52" i="4"/>
  <c r="D18" i="6"/>
  <c r="L56" i="4" l="1"/>
  <c r="M56" i="4"/>
  <c r="J56" i="4"/>
  <c r="T45" i="4" s="1"/>
  <c r="S45" i="4" s="1"/>
  <c r="K48" i="4"/>
  <c r="K56" i="4" s="1"/>
  <c r="V45" i="4" l="1"/>
  <c r="U45" i="4"/>
  <c r="Q26" i="3" l="1"/>
  <c r="P26" i="3"/>
  <c r="P25" i="3"/>
  <c r="Q23" i="3"/>
  <c r="P20" i="3"/>
  <c r="P19" i="3"/>
  <c r="P18" i="3"/>
  <c r="E13" i="3"/>
  <c r="P10" i="3"/>
  <c r="E10" i="3"/>
</calcChain>
</file>

<file path=xl/sharedStrings.xml><?xml version="1.0" encoding="utf-8"?>
<sst xmlns="http://schemas.openxmlformats.org/spreadsheetml/2006/main" count="123" uniqueCount="98">
  <si>
    <t>x</t>
  </si>
  <si>
    <t>fq</t>
  </si>
  <si>
    <t>total</t>
  </si>
  <si>
    <t>mean</t>
  </si>
  <si>
    <t>x-mean</t>
  </si>
  <si>
    <t>count</t>
  </si>
  <si>
    <t>std deviation</t>
  </si>
  <si>
    <t>variance</t>
  </si>
  <si>
    <t>skewness</t>
  </si>
  <si>
    <t>kurtosis</t>
  </si>
  <si>
    <t>median</t>
  </si>
  <si>
    <t>mode</t>
  </si>
  <si>
    <t>pearsons skweness 1st</t>
  </si>
  <si>
    <t>classes</t>
  </si>
  <si>
    <t>classmark</t>
  </si>
  <si>
    <t>lower</t>
  </si>
  <si>
    <t>upper</t>
  </si>
  <si>
    <t>cf</t>
  </si>
  <si>
    <t>(x-mean)^2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</si>
  <si>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</si>
  <si>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</si>
  <si>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</si>
  <si>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</si>
  <si>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</si>
  <si>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</si>
  <si>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</si>
  <si>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</si>
  <si>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</si>
  <si>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</si>
  <si>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</si>
  <si>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</si>
  <si>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</si>
  <si>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</si>
  <si>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Hypothesis tests</t>
  </si>
  <si>
    <t>h0: mean= mean(0)</t>
  </si>
  <si>
    <t>h1: mean!= mean(0)</t>
  </si>
  <si>
    <t>z test</t>
  </si>
  <si>
    <t>t test</t>
  </si>
  <si>
    <t>xample 1: One Sample Z-Test in Excel</t>
  </si>
  <si>
    <t>Suppose the IQ in a population is normally distributed with a mean of μ = 100 and standard deviation of σ = 15.</t>
  </si>
  <si>
    <t>A scientist wants to know if a new medication affects IQ levels, so she recruits 20 patients to use it for one month and records their IQ levels at the end of the month.</t>
  </si>
  <si>
    <t>We can use the following formula in Excel to perform a one sample z-test to determine if the new medication causes a significant difference in IQ levels:</t>
  </si>
  <si>
    <t>z test: used for 1 variable</t>
  </si>
  <si>
    <t>t test: used ofr 2 variables</t>
  </si>
  <si>
    <t xml:space="preserve"> A</t>
  </si>
  <si>
    <t>B</t>
  </si>
  <si>
    <t>z-Test: Two Sample for Means</t>
  </si>
  <si>
    <t>Variable 1</t>
  </si>
  <si>
    <t>Variable 2</t>
  </si>
  <si>
    <t>Known Variance</t>
  </si>
  <si>
    <t>Observations</t>
  </si>
  <si>
    <t>Hypothesized Mean Difference</t>
  </si>
  <si>
    <t>z</t>
  </si>
  <si>
    <t>P(Z&lt;=z) one-tail</t>
  </si>
  <si>
    <t>z Critical one-tail</t>
  </si>
  <si>
    <t>P(Z&lt;=z) two-tail</t>
  </si>
  <si>
    <t>z Critical two-tail</t>
  </si>
  <si>
    <t>p.value</t>
  </si>
  <si>
    <t>sample size</t>
  </si>
  <si>
    <t>sample mean</t>
  </si>
  <si>
    <t>sample std dev</t>
  </si>
  <si>
    <t>hypothesized mean</t>
  </si>
  <si>
    <t xml:space="preserve">t.test </t>
  </si>
  <si>
    <t>degree of freedom</t>
  </si>
  <si>
    <t>male</t>
  </si>
  <si>
    <t>f</t>
  </si>
  <si>
    <t>f.x</t>
  </si>
  <si>
    <t>c.f</t>
  </si>
  <si>
    <t>X-MEAN</t>
  </si>
  <si>
    <t>stddev</t>
  </si>
  <si>
    <t>o</t>
  </si>
  <si>
    <t>e</t>
  </si>
  <si>
    <t>(o-e)</t>
  </si>
  <si>
    <t>o-e^2</t>
  </si>
  <si>
    <t>o-e^2/e</t>
  </si>
  <si>
    <t>action</t>
  </si>
  <si>
    <t>comedy</t>
  </si>
  <si>
    <t>drama</t>
  </si>
  <si>
    <t>female</t>
  </si>
  <si>
    <t>chi squaree</t>
  </si>
  <si>
    <t>chi squaree&gt; expected</t>
  </si>
  <si>
    <t>therefore h0 is rejected</t>
  </si>
  <si>
    <t xml:space="preserve"> chi square</t>
  </si>
  <si>
    <t>f*X-MEAN^2</t>
  </si>
  <si>
    <t>f* X- MEAN^3</t>
  </si>
  <si>
    <t>f*X- MEAN^4</t>
  </si>
  <si>
    <t>pearson skweness</t>
  </si>
  <si>
    <t>data linear</t>
  </si>
  <si>
    <t>obsevations</t>
  </si>
  <si>
    <t>Continous values</t>
  </si>
  <si>
    <t>fq*(x-mean ^sq)</t>
  </si>
  <si>
    <t>fq*(x-mean ^3)</t>
  </si>
  <si>
    <t>fq*(x-mean ^4)</t>
  </si>
  <si>
    <t>critical value</t>
  </si>
  <si>
    <t>t.inv.2t(probability,d_f)</t>
  </si>
  <si>
    <t>discrete values</t>
  </si>
  <si>
    <t>conclusion</t>
  </si>
  <si>
    <t>expected chisquare at 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</si>
</sst>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22"/>
      <color theme="1"/>
      <name val="Calibri"/>
      <family val="2"/>
      <scheme val="minor"/>
    </font>
    <font>
      <i/>
      <sz val="14"/>
      <color rgb="FF7F7F7F"/>
      <name val="Calibri"/>
      <family val="2"/>
      <scheme val="minor"/>
    </font>
    <font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0"/>
      <color rgb="FF000000"/>
      <name val="Inherit"/>
    </font>
    <font>
      <sz val="17"/>
      <color rgb="FF000000"/>
      <name val="Helvetica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5" fillId="2" borderId="0" applyNumberFormat="0" applyBorder="0" applyAlignment="0" applyProtection="0"/>
  </cellStyleXfs>
  <cellXfs count="28">
    <xf numFmtId="0" fontId="0" fillId="0" borderId="0" xfId="0"/>
    <xf numFmtId="0" fontId="2" fillId="0" borderId="1" xfId="1"/>
    <xf numFmtId="0" fontId="5" fillId="0" borderId="0" xfId="2" applyFont="1"/>
    <xf numFmtId="0" fontId="6" fillId="0" borderId="0" xfId="0" applyFont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7" fillId="0" borderId="3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Continuous"/>
    </xf>
    <xf numFmtId="0" fontId="8" fillId="0" borderId="0" xfId="0" applyFont="1" applyAlignment="1">
      <alignment vertical="center"/>
    </xf>
    <xf numFmtId="0" fontId="0" fillId="0" borderId="0" xfId="0" applyAlignment="1"/>
    <xf numFmtId="0" fontId="9" fillId="0" borderId="0" xfId="0" applyFont="1" applyAlignment="1">
      <alignment vertical="center"/>
    </xf>
    <xf numFmtId="0" fontId="0" fillId="0" borderId="0" xfId="0" applyAlignment="1">
      <alignment horizontal="center"/>
    </xf>
    <xf numFmtId="43" fontId="0" fillId="0" borderId="0" xfId="3" applyFont="1"/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vertical="center" wrapText="1"/>
    </xf>
    <xf numFmtId="9" fontId="0" fillId="0" borderId="0" xfId="0" applyNumberFormat="1"/>
    <xf numFmtId="0" fontId="12" fillId="0" borderId="0" xfId="0" applyFont="1" applyAlignment="1">
      <alignment horizontal="center"/>
    </xf>
    <xf numFmtId="0" fontId="0" fillId="0" borderId="0" xfId="0" applyBorder="1"/>
    <xf numFmtId="0" fontId="13" fillId="0" borderId="0" xfId="0" applyFont="1"/>
    <xf numFmtId="0" fontId="14" fillId="0" borderId="0" xfId="0" applyFont="1"/>
    <xf numFmtId="0" fontId="4" fillId="0" borderId="0" xfId="0" applyFont="1" applyAlignment="1"/>
    <xf numFmtId="0" fontId="7" fillId="0" borderId="0" xfId="0" applyFont="1" applyFill="1" applyBorder="1" applyAlignment="1">
      <alignment horizontal="centerContinuous"/>
    </xf>
    <xf numFmtId="43" fontId="0" fillId="0" borderId="0" xfId="3" applyFont="1" applyBorder="1"/>
    <xf numFmtId="43" fontId="0" fillId="0" borderId="0" xfId="0" applyNumberFormat="1" applyBorder="1"/>
    <xf numFmtId="0" fontId="0" fillId="0" borderId="0" xfId="0" applyBorder="1" applyAlignment="1">
      <alignment wrapText="1"/>
    </xf>
    <xf numFmtId="0" fontId="15" fillId="2" borderId="0" xfId="4"/>
    <xf numFmtId="0" fontId="15" fillId="2" borderId="0" xfId="4" applyBorder="1"/>
    <xf numFmtId="0" fontId="6" fillId="0" borderId="0" xfId="0" applyFont="1" applyAlignment="1">
      <alignment horizontal="center"/>
    </xf>
  </cellXfs>
  <cellStyles count="5">
    <cellStyle name="Comma" xfId="3" builtinId="3"/>
    <cellStyle name="Explanatory Text" xfId="2" builtinId="53"/>
    <cellStyle name="Heading 1" xfId="1" builtinId="16"/>
    <cellStyle name="Neutral" xfId="4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161925</xdr:colOff>
      <xdr:row>14</xdr:row>
      <xdr:rowOff>152400</xdr:rowOff>
    </xdr:from>
    <xdr:to>
      <xdr:col>26</xdr:col>
      <xdr:colOff>452005</xdr:colOff>
      <xdr:row>20</xdr:row>
      <xdr:rowOff>152499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9525" y="3219450"/>
          <a:ext cx="5997460" cy="11430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8"/>
  <sheetViews>
    <sheetView tabSelected="1" zoomScale="87" workbookViewId="0">
      <selection activeCell="H12" sqref="H12"/>
    </sheetView>
  </sheetViews>
  <sheetFormatPr defaultRowHeight="14.4"/>
  <cols>
    <col min="4" max="4" width="16.5546875" bestFit="1" customWidth="1"/>
    <col min="5" max="5" width="12.44140625" bestFit="1" customWidth="1"/>
    <col min="8" max="8" width="30.33203125" bestFit="1" customWidth="1"/>
    <col min="9" max="9" width="26.33203125" bestFit="1" customWidth="1"/>
    <col min="10" max="10" width="28.5546875" bestFit="1" customWidth="1"/>
    <col min="11" max="11" width="20.109375" bestFit="1" customWidth="1"/>
    <col min="12" max="12" width="20.44140625" bestFit="1" customWidth="1"/>
    <col min="13" max="14" width="19.21875" bestFit="1" customWidth="1"/>
    <col min="15" max="15" width="12.21875" bestFit="1" customWidth="1"/>
    <col min="16" max="16" width="12" style="17" bestFit="1" customWidth="1"/>
    <col min="17" max="17" width="8.88671875" style="17"/>
    <col min="19" max="19" width="16.33203125" bestFit="1" customWidth="1"/>
    <col min="20" max="20" width="16.6640625" bestFit="1" customWidth="1"/>
    <col min="22" max="22" width="19.77734375" bestFit="1" customWidth="1"/>
    <col min="23" max="23" width="13.109375" bestFit="1" customWidth="1"/>
    <col min="24" max="24" width="28.5546875" bestFit="1" customWidth="1"/>
    <col min="25" max="25" width="1.21875" customWidth="1"/>
  </cols>
  <sheetData>
    <row r="1" spans="1:18">
      <c r="O1" s="17"/>
      <c r="Q1"/>
    </row>
    <row r="2" spans="1:18" ht="14.4" customHeight="1">
      <c r="E2" s="20"/>
      <c r="F2" s="9"/>
      <c r="G2" s="9"/>
      <c r="H2" s="9"/>
      <c r="I2" s="9"/>
      <c r="O2" s="17"/>
      <c r="Q2"/>
    </row>
    <row r="3" spans="1:18">
      <c r="E3" s="9"/>
      <c r="F3" s="9"/>
      <c r="G3" s="9"/>
      <c r="H3" s="9"/>
      <c r="I3" s="9"/>
      <c r="O3" s="17"/>
      <c r="Q3"/>
    </row>
    <row r="4" spans="1:18">
      <c r="E4" s="9"/>
      <c r="F4" s="9"/>
      <c r="G4" s="9"/>
      <c r="H4" s="9"/>
      <c r="I4" s="9"/>
      <c r="O4" s="17"/>
      <c r="Q4"/>
    </row>
    <row r="5" spans="1:18">
      <c r="O5" s="17"/>
      <c r="Q5"/>
    </row>
    <row r="6" spans="1:18" ht="28.8">
      <c r="A6" s="19" t="s">
        <v>95</v>
      </c>
      <c r="O6" s="17"/>
      <c r="Q6"/>
    </row>
    <row r="7" spans="1:18">
      <c r="O7" s="17"/>
      <c r="Q7"/>
    </row>
    <row r="8" spans="1:18">
      <c r="B8" s="25" t="s">
        <v>0</v>
      </c>
      <c r="C8" s="25" t="s">
        <v>65</v>
      </c>
      <c r="D8" s="25" t="s">
        <v>66</v>
      </c>
      <c r="E8" s="25" t="s">
        <v>67</v>
      </c>
      <c r="F8" s="25" t="s">
        <v>68</v>
      </c>
      <c r="G8" s="25" t="s">
        <v>83</v>
      </c>
      <c r="H8" s="25" t="s">
        <v>84</v>
      </c>
      <c r="I8" s="25" t="s">
        <v>85</v>
      </c>
      <c r="J8" s="25" t="s">
        <v>3</v>
      </c>
      <c r="K8" s="25" t="s">
        <v>11</v>
      </c>
      <c r="L8" s="25" t="s">
        <v>10</v>
      </c>
      <c r="M8" s="25" t="s">
        <v>7</v>
      </c>
      <c r="N8" s="25" t="s">
        <v>69</v>
      </c>
      <c r="O8" s="26" t="s">
        <v>8</v>
      </c>
      <c r="P8" s="26" t="s">
        <v>9</v>
      </c>
      <c r="Q8" s="26" t="s">
        <v>86</v>
      </c>
      <c r="R8" s="25"/>
    </row>
    <row r="9" spans="1:18">
      <c r="J9">
        <f>SUMPRODUCT(B10:B14,C10:C14)/SUM(C10:C14)</f>
        <v>23</v>
      </c>
      <c r="K9">
        <v>21</v>
      </c>
      <c r="L9">
        <f>(B11+B12)/2</f>
        <v>22.5</v>
      </c>
      <c r="M9">
        <f>G16/C16</f>
        <v>3.75</v>
      </c>
      <c r="N9">
        <f>SQRT(M9)</f>
        <v>1.9364916731037085</v>
      </c>
      <c r="O9" s="17">
        <f>SKEW(B21:B28)</f>
        <v>0.38643671323171846</v>
      </c>
      <c r="P9" s="17">
        <f>KURT(B21:B28)</f>
        <v>-1.8760000000000003</v>
      </c>
      <c r="Q9">
        <f>(J9-K9)/E27</f>
        <v>0.96609178307929588</v>
      </c>
    </row>
    <row r="10" spans="1:18">
      <c r="B10">
        <v>21</v>
      </c>
      <c r="C10">
        <v>3</v>
      </c>
      <c r="D10">
        <f>B10*C10</f>
        <v>63</v>
      </c>
      <c r="E10">
        <v>3</v>
      </c>
      <c r="F10">
        <v>-2</v>
      </c>
      <c r="G10">
        <f>C10*F10^2</f>
        <v>12</v>
      </c>
      <c r="H10">
        <f>C10*(F10^3)</f>
        <v>-24</v>
      </c>
      <c r="I10">
        <f>C10*(F10^4)</f>
        <v>48</v>
      </c>
      <c r="O10" s="17">
        <f>H16/(N9*C16)</f>
        <v>1.1618950038622251</v>
      </c>
      <c r="Q10"/>
    </row>
    <row r="11" spans="1:18">
      <c r="B11">
        <v>22</v>
      </c>
      <c r="C11">
        <v>1</v>
      </c>
      <c r="D11">
        <f>B11*C11</f>
        <v>22</v>
      </c>
      <c r="E11">
        <v>4</v>
      </c>
      <c r="F11">
        <v>-1</v>
      </c>
      <c r="G11">
        <f t="shared" ref="G11:G14" si="0">C11*F11^2</f>
        <v>1</v>
      </c>
      <c r="H11">
        <f t="shared" ref="H11:H14" si="1">C11*(F11^3)</f>
        <v>-1</v>
      </c>
      <c r="I11">
        <f t="shared" ref="I11:I14" si="2">C11*(F11^4)</f>
        <v>1</v>
      </c>
      <c r="O11" s="17"/>
      <c r="Q11"/>
    </row>
    <row r="12" spans="1:18">
      <c r="B12">
        <v>23</v>
      </c>
      <c r="C12">
        <v>1</v>
      </c>
      <c r="D12">
        <f>B12*C12</f>
        <v>23</v>
      </c>
      <c r="E12">
        <v>5</v>
      </c>
      <c r="F12">
        <v>0</v>
      </c>
      <c r="G12">
        <f t="shared" si="0"/>
        <v>0</v>
      </c>
      <c r="H12">
        <f t="shared" si="1"/>
        <v>0</v>
      </c>
      <c r="I12">
        <f t="shared" si="2"/>
        <v>0</v>
      </c>
      <c r="O12" s="17"/>
      <c r="Q12"/>
    </row>
    <row r="13" spans="1:18">
      <c r="B13">
        <v>25</v>
      </c>
      <c r="C13">
        <v>2</v>
      </c>
      <c r="D13">
        <f>B13*C13</f>
        <v>50</v>
      </c>
      <c r="E13">
        <v>7</v>
      </c>
      <c r="F13">
        <v>2</v>
      </c>
      <c r="G13">
        <f t="shared" si="0"/>
        <v>8</v>
      </c>
      <c r="H13">
        <f t="shared" si="1"/>
        <v>16</v>
      </c>
      <c r="I13">
        <f t="shared" si="2"/>
        <v>32</v>
      </c>
      <c r="O13" s="17"/>
      <c r="Q13"/>
    </row>
    <row r="14" spans="1:18">
      <c r="B14">
        <v>26</v>
      </c>
      <c r="C14">
        <v>1</v>
      </c>
      <c r="D14">
        <f>B14*C14</f>
        <v>26</v>
      </c>
      <c r="E14">
        <v>8</v>
      </c>
      <c r="F14">
        <v>3</v>
      </c>
      <c r="G14">
        <f t="shared" si="0"/>
        <v>9</v>
      </c>
      <c r="H14">
        <f t="shared" si="1"/>
        <v>27</v>
      </c>
      <c r="I14">
        <f t="shared" si="2"/>
        <v>81</v>
      </c>
      <c r="O14" s="17"/>
      <c r="Q14"/>
    </row>
    <row r="15" spans="1:18">
      <c r="O15" s="17"/>
      <c r="Q15"/>
    </row>
    <row r="16" spans="1:18">
      <c r="C16">
        <f>SUM(C10:C14)</f>
        <v>8</v>
      </c>
      <c r="G16">
        <f>SUM(G10:G14)</f>
        <v>30</v>
      </c>
      <c r="H16">
        <f>SUM(H10:H14)</f>
        <v>18</v>
      </c>
      <c r="I16">
        <f>SUM(I10:I14)</f>
        <v>162</v>
      </c>
      <c r="O16" s="17"/>
      <c r="Q16"/>
    </row>
    <row r="17" spans="2:17">
      <c r="O17" s="17"/>
      <c r="Q17"/>
    </row>
    <row r="20" spans="2:17" ht="15" thickBot="1">
      <c r="B20" t="s">
        <v>87</v>
      </c>
    </row>
    <row r="21" spans="2:17">
      <c r="B21">
        <v>21</v>
      </c>
      <c r="D21" s="7" t="s">
        <v>19</v>
      </c>
      <c r="E21" s="7"/>
      <c r="H21" t="s">
        <v>88</v>
      </c>
    </row>
    <row r="22" spans="2:17">
      <c r="B22">
        <v>21</v>
      </c>
      <c r="D22" s="4"/>
      <c r="E22" s="4"/>
    </row>
    <row r="23" spans="2:17" ht="20.399999999999999" thickBot="1">
      <c r="B23">
        <v>21</v>
      </c>
      <c r="D23" s="4" t="s">
        <v>20</v>
      </c>
      <c r="E23" s="4">
        <v>23</v>
      </c>
      <c r="H23" s="1" t="s">
        <v>8</v>
      </c>
      <c r="I23" s="1" t="s">
        <v>9</v>
      </c>
      <c r="J23" s="1" t="s">
        <v>12</v>
      </c>
    </row>
    <row r="24" spans="2:17" ht="15" thickTop="1">
      <c r="B24">
        <v>22</v>
      </c>
      <c r="D24" s="4" t="s">
        <v>21</v>
      </c>
      <c r="E24" s="4">
        <v>0.73192505471139979</v>
      </c>
    </row>
    <row r="25" spans="2:17">
      <c r="B25">
        <v>23</v>
      </c>
      <c r="D25" s="4" t="s">
        <v>22</v>
      </c>
      <c r="E25" s="4">
        <v>22.5</v>
      </c>
    </row>
    <row r="26" spans="2:17" ht="18">
      <c r="B26">
        <v>25</v>
      </c>
      <c r="D26" s="4" t="s">
        <v>23</v>
      </c>
      <c r="E26" s="4">
        <v>21</v>
      </c>
      <c r="H26" s="2" t="str">
        <f>IF(E30&gt;0,"long tail on right: positive")</f>
        <v>long tail on right: positive</v>
      </c>
      <c r="I26" s="2" t="b">
        <f>IF(E29&gt;0,"Sharp peak: leptokurtic")</f>
        <v>0</v>
      </c>
      <c r="J26" s="2" t="str">
        <f>IF(Q9&gt;0,"long tail on right")</f>
        <v>long tail on right</v>
      </c>
    </row>
    <row r="27" spans="2:17" ht="18">
      <c r="B27">
        <v>25</v>
      </c>
      <c r="D27" s="4" t="s">
        <v>24</v>
      </c>
      <c r="E27" s="4">
        <v>2.0701966780270626</v>
      </c>
      <c r="H27" s="2" t="b">
        <f>IF(E30&lt;0,"long tail on left: negative")</f>
        <v>0</v>
      </c>
      <c r="I27" s="2" t="str">
        <f>IF(E29&lt;0,"blunt peak:platykurtic")</f>
        <v>blunt peak:platykurtic</v>
      </c>
      <c r="J27" s="2" t="b">
        <f>IF(Q9&lt;0,"long tail on left")</f>
        <v>0</v>
      </c>
    </row>
    <row r="28" spans="2:17" ht="18">
      <c r="B28">
        <v>26</v>
      </c>
      <c r="D28" s="4" t="s">
        <v>25</v>
      </c>
      <c r="E28" s="4">
        <v>4.2857142857142856</v>
      </c>
      <c r="H28" s="2" t="b">
        <f>IF(E30=0,"skweness is zero")</f>
        <v>0</v>
      </c>
      <c r="I28" s="2" t="b">
        <f>IF(E29=0,"moderate peak:mesokutic")</f>
        <v>0</v>
      </c>
      <c r="J28" s="2" t="b">
        <f>IF(Q9=0,"skweness is zero")</f>
        <v>0</v>
      </c>
    </row>
    <row r="29" spans="2:17">
      <c r="D29" s="4" t="s">
        <v>26</v>
      </c>
      <c r="E29" s="4">
        <v>-1.8760000000000003</v>
      </c>
    </row>
    <row r="30" spans="2:17">
      <c r="D30" s="4" t="s">
        <v>27</v>
      </c>
      <c r="E30" s="4">
        <v>0.38643671323171846</v>
      </c>
    </row>
    <row r="31" spans="2:17">
      <c r="D31" s="4" t="s">
        <v>28</v>
      </c>
      <c r="E31" s="4">
        <v>5</v>
      </c>
    </row>
    <row r="32" spans="2:17">
      <c r="D32" s="4" t="s">
        <v>29</v>
      </c>
      <c r="E32" s="4">
        <v>21</v>
      </c>
    </row>
    <row r="33" spans="1:24">
      <c r="D33" s="4" t="s">
        <v>30</v>
      </c>
      <c r="E33" s="4">
        <v>26</v>
      </c>
    </row>
    <row r="34" spans="1:24">
      <c r="D34" s="4" t="s">
        <v>31</v>
      </c>
      <c r="E34" s="4">
        <v>184</v>
      </c>
    </row>
    <row r="35" spans="1:24" ht="15" thickBot="1">
      <c r="D35" s="5" t="s">
        <v>32</v>
      </c>
      <c r="E35" s="5">
        <v>8</v>
      </c>
    </row>
    <row r="41" spans="1:24" ht="25.8">
      <c r="A41" s="18" t="s">
        <v>89</v>
      </c>
    </row>
    <row r="44" spans="1:24" ht="20.399999999999999" thickBot="1">
      <c r="A44" s="1" t="s">
        <v>5</v>
      </c>
      <c r="B44" s="1" t="s">
        <v>13</v>
      </c>
      <c r="C44" s="1" t="s">
        <v>15</v>
      </c>
      <c r="D44" s="1" t="s">
        <v>16</v>
      </c>
      <c r="E44" s="1" t="s">
        <v>14</v>
      </c>
      <c r="F44" s="1" t="s">
        <v>1</v>
      </c>
      <c r="G44" s="1" t="s">
        <v>17</v>
      </c>
      <c r="H44" s="1"/>
      <c r="I44" s="1" t="s">
        <v>4</v>
      </c>
      <c r="J44" s="1" t="s">
        <v>18</v>
      </c>
      <c r="K44" s="1" t="s">
        <v>90</v>
      </c>
      <c r="L44" s="1" t="s">
        <v>91</v>
      </c>
      <c r="M44" s="1" t="s">
        <v>92</v>
      </c>
      <c r="N44" s="1" t="s">
        <v>3</v>
      </c>
      <c r="O44" s="1" t="s">
        <v>10</v>
      </c>
      <c r="P44" s="1" t="s">
        <v>11</v>
      </c>
      <c r="Q44" s="1"/>
      <c r="R44" s="1"/>
      <c r="S44" s="1" t="s">
        <v>6</v>
      </c>
      <c r="T44" s="1" t="s">
        <v>7</v>
      </c>
      <c r="U44" s="1" t="s">
        <v>8</v>
      </c>
      <c r="V44" s="1" t="s">
        <v>9</v>
      </c>
      <c r="W44" s="1" t="s">
        <v>12</v>
      </c>
      <c r="X44" s="1"/>
    </row>
    <row r="45" spans="1:24" ht="15" thickTop="1">
      <c r="E45" t="s">
        <v>0</v>
      </c>
      <c r="N45">
        <f>SUMPRODUCT(E48:E52,F48:F52)/SUM(F48:F52)</f>
        <v>23</v>
      </c>
      <c r="O45">
        <f>E50+((12.5-G49)/F50)*10</f>
        <v>27.5</v>
      </c>
      <c r="P45">
        <f>D51+((G51-G50)/(2*G51-G50-G52))*10</f>
        <v>25</v>
      </c>
      <c r="Q45"/>
      <c r="S45">
        <f>SQRT(T45)</f>
        <v>6.3874877690685246</v>
      </c>
      <c r="T45">
        <f>J56/F56</f>
        <v>40.799999999999997</v>
      </c>
      <c r="U45">
        <f>L56/(S45*F56)</f>
        <v>97.690989409283333</v>
      </c>
      <c r="V45">
        <f>M56/(S45^4 * F56)-3</f>
        <v>44.693194925028834</v>
      </c>
    </row>
    <row r="46" spans="1:24">
      <c r="P46"/>
      <c r="Q46"/>
    </row>
    <row r="47" spans="1:24">
      <c r="P47"/>
      <c r="Q47"/>
    </row>
    <row r="48" spans="1:24">
      <c r="A48">
        <v>1</v>
      </c>
      <c r="C48">
        <v>0</v>
      </c>
      <c r="D48">
        <v>10</v>
      </c>
      <c r="E48">
        <f>(C48+D48)/2</f>
        <v>5</v>
      </c>
      <c r="F48">
        <v>7</v>
      </c>
      <c r="G48">
        <f>F48</f>
        <v>7</v>
      </c>
      <c r="I48">
        <f>E48-$N$45</f>
        <v>-18</v>
      </c>
      <c r="J48">
        <f>I48^2</f>
        <v>324</v>
      </c>
      <c r="K48">
        <f>F48*J48</f>
        <v>2268</v>
      </c>
      <c r="L48">
        <f>F48*(I48^3)</f>
        <v>-40824</v>
      </c>
      <c r="M48">
        <f>F48*(I48^4)</f>
        <v>734832</v>
      </c>
      <c r="P48"/>
      <c r="Q48"/>
    </row>
    <row r="49" spans="1:24">
      <c r="A49">
        <v>2</v>
      </c>
      <c r="C49">
        <v>10</v>
      </c>
      <c r="D49">
        <v>20</v>
      </c>
      <c r="E49">
        <f t="shared" ref="E49:E52" si="3">(C49+D49)/2</f>
        <v>15</v>
      </c>
      <c r="F49">
        <v>4</v>
      </c>
      <c r="G49">
        <f>G48+F49</f>
        <v>11</v>
      </c>
      <c r="I49">
        <f t="shared" ref="I49:I52" si="4">E49-$N$45</f>
        <v>-8</v>
      </c>
      <c r="J49">
        <f t="shared" ref="J49:J52" si="5">I49^2</f>
        <v>64</v>
      </c>
      <c r="K49">
        <f t="shared" ref="K49:K52" si="6">F49*J49</f>
        <v>256</v>
      </c>
      <c r="L49">
        <f t="shared" ref="L49:L52" si="7">F49*(I49^3)</f>
        <v>-2048</v>
      </c>
      <c r="M49">
        <f t="shared" ref="M49:M52" si="8">F49*(I49^4)</f>
        <v>16384</v>
      </c>
      <c r="P49"/>
      <c r="Q49"/>
    </row>
    <row r="50" spans="1:24" ht="18">
      <c r="A50">
        <v>3</v>
      </c>
      <c r="C50">
        <v>20</v>
      </c>
      <c r="D50">
        <v>30</v>
      </c>
      <c r="E50">
        <f t="shared" si="3"/>
        <v>25</v>
      </c>
      <c r="F50">
        <v>6</v>
      </c>
      <c r="G50">
        <f>G49+F50</f>
        <v>17</v>
      </c>
      <c r="I50">
        <f t="shared" si="4"/>
        <v>2</v>
      </c>
      <c r="J50">
        <f t="shared" si="5"/>
        <v>4</v>
      </c>
      <c r="K50">
        <f t="shared" si="6"/>
        <v>24</v>
      </c>
      <c r="L50">
        <f t="shared" si="7"/>
        <v>48</v>
      </c>
      <c r="M50">
        <f t="shared" si="8"/>
        <v>96</v>
      </c>
      <c r="P50"/>
      <c r="Q50"/>
      <c r="U50" s="2"/>
      <c r="V50" s="2"/>
      <c r="W50" s="2"/>
      <c r="X50" s="2"/>
    </row>
    <row r="51" spans="1:24" ht="18">
      <c r="A51">
        <v>4</v>
      </c>
      <c r="C51">
        <v>30</v>
      </c>
      <c r="D51">
        <v>40</v>
      </c>
      <c r="E51">
        <f t="shared" si="3"/>
        <v>35</v>
      </c>
      <c r="F51">
        <v>3</v>
      </c>
      <c r="G51">
        <f>G50+F51</f>
        <v>20</v>
      </c>
      <c r="I51">
        <f t="shared" si="4"/>
        <v>12</v>
      </c>
      <c r="J51">
        <f t="shared" si="5"/>
        <v>144</v>
      </c>
      <c r="K51">
        <f t="shared" si="6"/>
        <v>432</v>
      </c>
      <c r="L51">
        <f t="shared" si="7"/>
        <v>5184</v>
      </c>
      <c r="M51">
        <f t="shared" si="8"/>
        <v>62208</v>
      </c>
      <c r="P51"/>
      <c r="Q51"/>
      <c r="U51" s="2"/>
      <c r="V51" s="2"/>
      <c r="W51" s="2"/>
      <c r="X51" s="2"/>
    </row>
    <row r="52" spans="1:24" ht="18">
      <c r="A52">
        <v>5</v>
      </c>
      <c r="C52">
        <v>40</v>
      </c>
      <c r="D52">
        <v>50</v>
      </c>
      <c r="E52">
        <f t="shared" si="3"/>
        <v>45</v>
      </c>
      <c r="F52">
        <v>5</v>
      </c>
      <c r="G52">
        <f>G51+F52</f>
        <v>25</v>
      </c>
      <c r="I52">
        <f t="shared" si="4"/>
        <v>22</v>
      </c>
      <c r="J52">
        <f t="shared" si="5"/>
        <v>484</v>
      </c>
      <c r="K52">
        <f t="shared" si="6"/>
        <v>2420</v>
      </c>
      <c r="L52">
        <f t="shared" si="7"/>
        <v>53240</v>
      </c>
      <c r="M52">
        <f t="shared" si="8"/>
        <v>1171280</v>
      </c>
      <c r="P52"/>
      <c r="Q52"/>
      <c r="U52" s="2"/>
      <c r="V52" s="2"/>
      <c r="W52" s="2"/>
      <c r="X52" s="2"/>
    </row>
    <row r="53" spans="1:24">
      <c r="P53"/>
      <c r="Q53"/>
    </row>
    <row r="54" spans="1:24">
      <c r="P54"/>
      <c r="Q54"/>
    </row>
    <row r="55" spans="1:24">
      <c r="P55"/>
      <c r="Q55"/>
    </row>
    <row r="56" spans="1:24">
      <c r="A56" t="s">
        <v>2</v>
      </c>
      <c r="F56">
        <f>SUM(F48:F52)</f>
        <v>25</v>
      </c>
      <c r="G56">
        <f t="shared" ref="G56:M56" si="9">SUM(G48:G52)</f>
        <v>80</v>
      </c>
      <c r="H56">
        <f t="shared" si="9"/>
        <v>0</v>
      </c>
      <c r="I56">
        <f t="shared" si="9"/>
        <v>10</v>
      </c>
      <c r="J56">
        <f t="shared" si="9"/>
        <v>1020</v>
      </c>
      <c r="K56">
        <f t="shared" si="9"/>
        <v>5400</v>
      </c>
      <c r="L56">
        <f t="shared" si="9"/>
        <v>15600</v>
      </c>
      <c r="M56">
        <f t="shared" si="9"/>
        <v>1984800</v>
      </c>
      <c r="P56"/>
      <c r="Q56"/>
    </row>
    <row r="57" spans="1:24">
      <c r="P57"/>
      <c r="Q57"/>
    </row>
    <row r="58" spans="1:24">
      <c r="P58"/>
      <c r="Q5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25"/>
  <sheetViews>
    <sheetView workbookViewId="0">
      <selection activeCell="G15" sqref="G15"/>
    </sheetView>
  </sheetViews>
  <sheetFormatPr defaultRowHeight="14.4"/>
  <cols>
    <col min="2" max="2" width="9.6640625" bestFit="1" customWidth="1"/>
    <col min="3" max="3" width="23.109375" bestFit="1" customWidth="1"/>
  </cols>
  <sheetData>
    <row r="2" spans="3:22" ht="23.4">
      <c r="I2" s="16" t="s">
        <v>82</v>
      </c>
      <c r="J2" s="11"/>
      <c r="K2" s="11"/>
      <c r="L2" s="11"/>
      <c r="M2" s="11"/>
      <c r="N2" s="11"/>
      <c r="V2" t="s">
        <v>2</v>
      </c>
    </row>
    <row r="3" spans="3:22">
      <c r="I3" s="11"/>
      <c r="J3" s="11"/>
      <c r="K3" s="11"/>
      <c r="L3" s="11"/>
      <c r="M3" s="11"/>
      <c r="N3" s="11"/>
    </row>
    <row r="4" spans="3:22" ht="14.4" customHeight="1"/>
    <row r="5" spans="3:22">
      <c r="E5" t="s">
        <v>75</v>
      </c>
      <c r="K5" t="s">
        <v>76</v>
      </c>
      <c r="Q5" t="s">
        <v>77</v>
      </c>
    </row>
    <row r="6" spans="3:22">
      <c r="E6" t="s">
        <v>70</v>
      </c>
      <c r="F6" t="s">
        <v>71</v>
      </c>
      <c r="G6" t="s">
        <v>72</v>
      </c>
      <c r="H6" t="s">
        <v>73</v>
      </c>
      <c r="I6" t="s">
        <v>74</v>
      </c>
      <c r="K6" t="s">
        <v>70</v>
      </c>
      <c r="L6" t="s">
        <v>71</v>
      </c>
      <c r="M6" t="s">
        <v>72</v>
      </c>
      <c r="N6" t="s">
        <v>73</v>
      </c>
      <c r="O6" t="s">
        <v>74</v>
      </c>
      <c r="Q6" t="s">
        <v>70</v>
      </c>
      <c r="R6" t="s">
        <v>71</v>
      </c>
      <c r="S6" t="s">
        <v>72</v>
      </c>
      <c r="T6" t="s">
        <v>73</v>
      </c>
      <c r="U6" t="s">
        <v>74</v>
      </c>
    </row>
    <row r="8" spans="3:22">
      <c r="C8" t="s">
        <v>64</v>
      </c>
      <c r="E8">
        <v>60</v>
      </c>
      <c r="F8">
        <f>V8*E14/V14</f>
        <v>50</v>
      </c>
      <c r="G8">
        <f>E8-F8</f>
        <v>10</v>
      </c>
      <c r="H8">
        <f>G8^2</f>
        <v>100</v>
      </c>
      <c r="I8">
        <f>H8/F8</f>
        <v>2</v>
      </c>
      <c r="K8">
        <v>40</v>
      </c>
      <c r="L8">
        <f>V8*K14/V14</f>
        <v>45</v>
      </c>
      <c r="M8">
        <f>K8-L8</f>
        <v>-5</v>
      </c>
      <c r="N8">
        <f>M8^2</f>
        <v>25</v>
      </c>
      <c r="O8">
        <f>N8/L8</f>
        <v>0.55555555555555558</v>
      </c>
      <c r="Q8">
        <v>30</v>
      </c>
      <c r="R8">
        <f>V8*Q14/V14</f>
        <v>35</v>
      </c>
      <c r="S8">
        <f>Q8-R8</f>
        <v>-5</v>
      </c>
      <c r="T8">
        <f>S8^2</f>
        <v>25</v>
      </c>
      <c r="U8">
        <f>T8/R8</f>
        <v>0.7142857142857143</v>
      </c>
      <c r="V8">
        <f>E8+K8+Q8</f>
        <v>130</v>
      </c>
    </row>
    <row r="11" spans="3:22">
      <c r="C11" t="s">
        <v>78</v>
      </c>
      <c r="E11">
        <v>40</v>
      </c>
      <c r="F11">
        <f>V11*E14/V14</f>
        <v>50</v>
      </c>
      <c r="G11">
        <f>E11-F11</f>
        <v>-10</v>
      </c>
      <c r="H11">
        <f>G11^2</f>
        <v>100</v>
      </c>
      <c r="I11">
        <f>H11/F11</f>
        <v>2</v>
      </c>
      <c r="K11">
        <v>50</v>
      </c>
      <c r="L11">
        <f>V11*K14/V14</f>
        <v>45</v>
      </c>
      <c r="M11">
        <f>K11-L11</f>
        <v>5</v>
      </c>
      <c r="N11">
        <f>M11^2</f>
        <v>25</v>
      </c>
      <c r="O11">
        <f>N11/L11</f>
        <v>0.55555555555555558</v>
      </c>
      <c r="Q11">
        <v>40</v>
      </c>
      <c r="R11">
        <f>V11*Q14/V14</f>
        <v>35</v>
      </c>
      <c r="S11">
        <f>Q11-R11</f>
        <v>5</v>
      </c>
      <c r="T11">
        <f>S11^2</f>
        <v>25</v>
      </c>
      <c r="U11">
        <f>T11/R11</f>
        <v>0.7142857142857143</v>
      </c>
      <c r="V11">
        <f>E11+K11+Q11</f>
        <v>130</v>
      </c>
    </row>
    <row r="14" spans="3:22">
      <c r="C14" t="s">
        <v>2</v>
      </c>
      <c r="E14">
        <f>E8+E11</f>
        <v>100</v>
      </c>
      <c r="K14">
        <f>K8+K11</f>
        <v>90</v>
      </c>
      <c r="Q14">
        <f>Q8+Q11</f>
        <v>70</v>
      </c>
      <c r="V14">
        <f>V8+V11</f>
        <v>260</v>
      </c>
    </row>
    <row r="18" spans="2:5">
      <c r="C18" t="s">
        <v>79</v>
      </c>
      <c r="D18">
        <f>I8+I11+O8+O11+U8+U11</f>
        <v>6.5396825396825395</v>
      </c>
    </row>
    <row r="20" spans="2:5">
      <c r="C20" t="s">
        <v>97</v>
      </c>
      <c r="E20">
        <v>5.9909999999999997</v>
      </c>
    </row>
    <row r="22" spans="2:5">
      <c r="C22" t="s">
        <v>80</v>
      </c>
      <c r="E22" t="s">
        <v>81</v>
      </c>
    </row>
    <row r="24" spans="2:5">
      <c r="B24" t="s">
        <v>96</v>
      </c>
      <c r="C24" t="str">
        <f>IF(D18&gt;E20,"h0 is rejected")</f>
        <v>h0 is rejected</v>
      </c>
    </row>
    <row r="25" spans="2:5">
      <c r="C25" t="b">
        <f>IF(D18&lt;E20,"h0 is accepted")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55"/>
  <sheetViews>
    <sheetView workbookViewId="0">
      <selection activeCell="J6" sqref="J6"/>
    </sheetView>
  </sheetViews>
  <sheetFormatPr defaultRowHeight="14.4"/>
  <cols>
    <col min="1" max="1" width="9" bestFit="1" customWidth="1"/>
    <col min="2" max="2" width="11.44140625" bestFit="1" customWidth="1"/>
    <col min="3" max="4" width="10.21875" bestFit="1" customWidth="1"/>
    <col min="5" max="16" width="9" bestFit="1" customWidth="1"/>
  </cols>
  <sheetData>
    <row r="2" spans="1:16">
      <c r="F2" s="15"/>
      <c r="G2" s="15">
        <v>0.5</v>
      </c>
      <c r="J2" s="15">
        <v>0.05</v>
      </c>
    </row>
    <row r="4" spans="1:16">
      <c r="A4" s="13"/>
      <c r="B4" s="13">
        <v>0.995</v>
      </c>
      <c r="C4" s="13">
        <v>0.99</v>
      </c>
      <c r="D4" s="13">
        <v>0.97499999999999998</v>
      </c>
      <c r="E4" s="13">
        <v>0.95</v>
      </c>
      <c r="F4" s="13">
        <v>0.9</v>
      </c>
      <c r="G4" s="13">
        <v>0.5</v>
      </c>
      <c r="H4" s="13">
        <v>0.2</v>
      </c>
      <c r="I4" s="13">
        <v>0.1</v>
      </c>
      <c r="J4" s="13">
        <v>0.05</v>
      </c>
      <c r="K4" s="13">
        <v>2.5000000000000001E-2</v>
      </c>
      <c r="L4" s="13">
        <v>0.02</v>
      </c>
      <c r="M4" s="13">
        <v>0.01</v>
      </c>
      <c r="N4" s="13">
        <v>5.0000000000000001E-3</v>
      </c>
      <c r="O4" s="13">
        <v>2E-3</v>
      </c>
      <c r="P4" s="13">
        <v>1E-3</v>
      </c>
    </row>
    <row r="5" spans="1:16">
      <c r="A5" s="13">
        <v>1</v>
      </c>
      <c r="B5" s="14">
        <v>3.9700000000000003E-5</v>
      </c>
      <c r="C5" s="14">
        <v>1.5699999999999999E-4</v>
      </c>
      <c r="D5" s="14">
        <v>9.8200000000000002E-4</v>
      </c>
      <c r="E5" s="14">
        <v>3.9300000000000003E-3</v>
      </c>
      <c r="F5" s="14">
        <v>1.5800000000000002E-2</v>
      </c>
      <c r="G5" s="14">
        <v>0.45500000000000002</v>
      </c>
      <c r="H5" s="14">
        <v>1.6419999999999999</v>
      </c>
      <c r="I5" s="14">
        <v>2.706</v>
      </c>
      <c r="J5" s="14">
        <v>3.8410000000000002</v>
      </c>
      <c r="K5" s="14">
        <v>5.024</v>
      </c>
      <c r="L5" s="14">
        <v>5.4119999999999999</v>
      </c>
      <c r="M5" s="14">
        <v>6.6349999999999998</v>
      </c>
      <c r="N5" s="14">
        <v>7.8789999999999996</v>
      </c>
      <c r="O5" s="14">
        <v>9.5500000000000007</v>
      </c>
      <c r="P5" s="14">
        <v>10.827999999999999</v>
      </c>
    </row>
    <row r="6" spans="1:16">
      <c r="A6" s="13">
        <v>2</v>
      </c>
      <c r="B6" s="14">
        <v>0.01</v>
      </c>
      <c r="C6" s="14">
        <v>0.02</v>
      </c>
      <c r="D6" s="14">
        <v>5.0999999999999997E-2</v>
      </c>
      <c r="E6" s="14">
        <v>0.10299999999999999</v>
      </c>
      <c r="F6" s="14">
        <v>0.21099999999999999</v>
      </c>
      <c r="G6" s="14">
        <v>1.3859999999999999</v>
      </c>
      <c r="H6" s="14">
        <v>3.2189999999999999</v>
      </c>
      <c r="I6" s="14">
        <v>4.6050000000000004</v>
      </c>
      <c r="J6" s="14">
        <v>5.9909999999999997</v>
      </c>
      <c r="K6" s="14">
        <v>7.3780000000000001</v>
      </c>
      <c r="L6" s="14">
        <v>7.8239999999999998</v>
      </c>
      <c r="M6" s="14">
        <v>9.2100000000000009</v>
      </c>
      <c r="N6" s="14">
        <v>10.597</v>
      </c>
      <c r="O6" s="14">
        <v>12.429</v>
      </c>
      <c r="P6" s="14">
        <v>13.816000000000001</v>
      </c>
    </row>
    <row r="7" spans="1:16">
      <c r="A7" s="13">
        <v>3</v>
      </c>
      <c r="B7" s="14">
        <v>7.1999999999999995E-2</v>
      </c>
      <c r="C7" s="14">
        <v>0.115</v>
      </c>
      <c r="D7" s="14">
        <v>0.216</v>
      </c>
      <c r="E7" s="14">
        <v>0.35199999999999998</v>
      </c>
      <c r="F7" s="14">
        <v>0.58399999999999996</v>
      </c>
      <c r="G7" s="14">
        <v>2.3660000000000001</v>
      </c>
      <c r="H7" s="14">
        <v>4.6420000000000003</v>
      </c>
      <c r="I7" s="14">
        <v>6.2510000000000003</v>
      </c>
      <c r="J7" s="14">
        <v>7.8150000000000004</v>
      </c>
      <c r="K7" s="14">
        <v>9.3480000000000008</v>
      </c>
      <c r="L7" s="14">
        <v>9.8369999999999997</v>
      </c>
      <c r="M7" s="14">
        <v>11.345000000000001</v>
      </c>
      <c r="N7" s="14">
        <v>12.837999999999999</v>
      </c>
      <c r="O7" s="14">
        <v>14.795999999999999</v>
      </c>
      <c r="P7" s="14">
        <v>16.265999999999998</v>
      </c>
    </row>
    <row r="8" spans="1:16">
      <c r="A8" s="13">
        <v>4</v>
      </c>
      <c r="B8" s="14">
        <v>0.20699999999999999</v>
      </c>
      <c r="C8" s="14">
        <v>0.29699999999999999</v>
      </c>
      <c r="D8" s="14">
        <v>0.48399999999999999</v>
      </c>
      <c r="E8" s="14">
        <v>0.71099999999999997</v>
      </c>
      <c r="F8" s="14">
        <v>1.0640000000000001</v>
      </c>
      <c r="G8" s="14">
        <v>3.3570000000000002</v>
      </c>
      <c r="H8" s="14">
        <v>5.9889999999999999</v>
      </c>
      <c r="I8" s="14">
        <v>7.7789999999999999</v>
      </c>
      <c r="J8" s="14">
        <v>9.4879999999999995</v>
      </c>
      <c r="K8" s="14">
        <v>11.143000000000001</v>
      </c>
      <c r="L8" s="14">
        <v>11.667999999999999</v>
      </c>
      <c r="M8" s="14">
        <v>13.276999999999999</v>
      </c>
      <c r="N8" s="14">
        <v>14.86</v>
      </c>
      <c r="O8" s="14">
        <v>16.923999999999999</v>
      </c>
      <c r="P8" s="14">
        <v>18.466999999999999</v>
      </c>
    </row>
    <row r="9" spans="1:16">
      <c r="A9" s="13">
        <v>5</v>
      </c>
      <c r="B9" s="14">
        <v>0.41199999999999998</v>
      </c>
      <c r="C9" s="14">
        <v>0.55400000000000005</v>
      </c>
      <c r="D9" s="14">
        <v>0.83099999999999996</v>
      </c>
      <c r="E9" s="14">
        <v>1.145</v>
      </c>
      <c r="F9" s="14">
        <v>1.61</v>
      </c>
      <c r="G9" s="14">
        <v>4.351</v>
      </c>
      <c r="H9" s="14">
        <v>7.2889999999999997</v>
      </c>
      <c r="I9" s="14">
        <v>9.2360000000000007</v>
      </c>
      <c r="J9" s="14">
        <v>11.07</v>
      </c>
      <c r="K9" s="14">
        <v>12.833</v>
      </c>
      <c r="L9" s="14">
        <v>13.388</v>
      </c>
      <c r="M9" s="14">
        <v>15.086</v>
      </c>
      <c r="N9" s="14">
        <v>16.75</v>
      </c>
      <c r="O9" s="14">
        <v>18.907</v>
      </c>
      <c r="P9" s="14">
        <v>20.515000000000001</v>
      </c>
    </row>
    <row r="10" spans="1:16">
      <c r="A10" s="13">
        <v>6</v>
      </c>
      <c r="B10" s="14">
        <v>0.67600000000000005</v>
      </c>
      <c r="C10" s="14">
        <v>0.872</v>
      </c>
      <c r="D10" s="14">
        <v>1.2370000000000001</v>
      </c>
      <c r="E10" s="14">
        <v>1.635</v>
      </c>
      <c r="F10" s="14">
        <v>2.2040000000000002</v>
      </c>
      <c r="G10" s="14">
        <v>5.3479999999999999</v>
      </c>
      <c r="H10" s="14">
        <v>8.5579999999999998</v>
      </c>
      <c r="I10" s="14">
        <v>10.645</v>
      </c>
      <c r="J10" s="14">
        <v>12.592000000000001</v>
      </c>
      <c r="K10" s="14">
        <v>14.449</v>
      </c>
      <c r="L10" s="14">
        <v>15.032999999999999</v>
      </c>
      <c r="M10" s="14">
        <v>16.812000000000001</v>
      </c>
      <c r="N10" s="14">
        <v>18.547999999999998</v>
      </c>
      <c r="O10" s="14">
        <v>20.791</v>
      </c>
      <c r="P10" s="14">
        <v>22.457999999999998</v>
      </c>
    </row>
    <row r="11" spans="1:16">
      <c r="A11" s="13">
        <v>7</v>
      </c>
      <c r="B11" s="14">
        <v>0.98899999999999999</v>
      </c>
      <c r="C11" s="14">
        <v>1.2390000000000001</v>
      </c>
      <c r="D11" s="14">
        <v>1.69</v>
      </c>
      <c r="E11" s="14">
        <v>2.1669999999999998</v>
      </c>
      <c r="F11" s="14">
        <v>2.8330000000000002</v>
      </c>
      <c r="G11" s="14">
        <v>6.3460000000000001</v>
      </c>
      <c r="H11" s="14">
        <v>9.8030000000000008</v>
      </c>
      <c r="I11" s="14">
        <v>12.016999999999999</v>
      </c>
      <c r="J11" s="14">
        <v>14.067</v>
      </c>
      <c r="K11" s="14">
        <v>16.013000000000002</v>
      </c>
      <c r="L11" s="14">
        <v>16.622</v>
      </c>
      <c r="M11" s="14">
        <v>18.475000000000001</v>
      </c>
      <c r="N11" s="14">
        <v>20.277999999999999</v>
      </c>
      <c r="O11" s="14">
        <v>22.600999999999999</v>
      </c>
      <c r="P11" s="14">
        <v>24.321999999999999</v>
      </c>
    </row>
    <row r="12" spans="1:16">
      <c r="A12" s="13">
        <v>8</v>
      </c>
      <c r="B12" s="14">
        <v>1.3440000000000001</v>
      </c>
      <c r="C12" s="14">
        <v>1.6459999999999999</v>
      </c>
      <c r="D12" s="14">
        <v>2.1800000000000002</v>
      </c>
      <c r="E12" s="14">
        <v>2.7330000000000001</v>
      </c>
      <c r="F12" s="14">
        <v>3.49</v>
      </c>
      <c r="G12" s="14">
        <v>7.3440000000000003</v>
      </c>
      <c r="H12" s="14">
        <v>11.03</v>
      </c>
      <c r="I12" s="14">
        <v>13.362</v>
      </c>
      <c r="J12" s="14">
        <v>15.507</v>
      </c>
      <c r="K12" s="14">
        <v>17.535</v>
      </c>
      <c r="L12" s="14">
        <v>18.167999999999999</v>
      </c>
      <c r="M12" s="14">
        <v>20.09</v>
      </c>
      <c r="N12" s="14">
        <v>21.954999999999998</v>
      </c>
      <c r="O12" s="14">
        <v>24.352</v>
      </c>
      <c r="P12" s="14">
        <v>26.123999999999999</v>
      </c>
    </row>
    <row r="13" spans="1:16">
      <c r="A13" s="13">
        <v>9</v>
      </c>
      <c r="B13" s="14">
        <v>1.7350000000000001</v>
      </c>
      <c r="C13" s="14">
        <v>2.0880000000000001</v>
      </c>
      <c r="D13" s="14">
        <v>2.7</v>
      </c>
      <c r="E13" s="14">
        <v>3.3250000000000002</v>
      </c>
      <c r="F13" s="14">
        <v>4.1680000000000001</v>
      </c>
      <c r="G13" s="14">
        <v>8.343</v>
      </c>
      <c r="H13" s="14">
        <v>12.242000000000001</v>
      </c>
      <c r="I13" s="14">
        <v>14.683999999999999</v>
      </c>
      <c r="J13" s="14">
        <v>16.919</v>
      </c>
      <c r="K13" s="14">
        <v>19.023</v>
      </c>
      <c r="L13" s="14">
        <v>19.678999999999998</v>
      </c>
      <c r="M13" s="14">
        <v>21.666</v>
      </c>
      <c r="N13" s="14">
        <v>23.588999999999999</v>
      </c>
      <c r="O13" s="14">
        <v>26.056000000000001</v>
      </c>
      <c r="P13" s="14">
        <v>27.876999999999999</v>
      </c>
    </row>
    <row r="14" spans="1:16">
      <c r="A14" s="13">
        <v>10</v>
      </c>
      <c r="B14" s="14">
        <v>2.1560000000000001</v>
      </c>
      <c r="C14" s="14">
        <v>2.5579999999999998</v>
      </c>
      <c r="D14" s="14">
        <v>3.2469999999999999</v>
      </c>
      <c r="E14" s="14">
        <v>3.94</v>
      </c>
      <c r="F14" s="14">
        <v>4.8650000000000002</v>
      </c>
      <c r="G14" s="14">
        <v>9.3420000000000005</v>
      </c>
      <c r="H14" s="14">
        <v>13.442</v>
      </c>
      <c r="I14" s="14">
        <v>15.987</v>
      </c>
      <c r="J14" s="14">
        <v>18.306999999999999</v>
      </c>
      <c r="K14" s="14">
        <v>20.483000000000001</v>
      </c>
      <c r="L14" s="14">
        <v>21.161000000000001</v>
      </c>
      <c r="M14" s="14">
        <v>23.209</v>
      </c>
      <c r="N14" s="14">
        <v>25.187999999999999</v>
      </c>
      <c r="O14" s="14">
        <v>27.722000000000001</v>
      </c>
      <c r="P14" s="14">
        <v>29.588000000000001</v>
      </c>
    </row>
    <row r="15" spans="1:16">
      <c r="A15" s="13">
        <v>11</v>
      </c>
      <c r="B15" s="14">
        <v>2.6030000000000002</v>
      </c>
      <c r="C15" s="14">
        <v>3.0529999999999999</v>
      </c>
      <c r="D15" s="14">
        <v>3.8159999999999998</v>
      </c>
      <c r="E15" s="14">
        <v>4.5750000000000002</v>
      </c>
      <c r="F15" s="14">
        <v>5.5780000000000003</v>
      </c>
      <c r="G15" s="14">
        <v>10.340999999999999</v>
      </c>
      <c r="H15" s="14">
        <v>14.631</v>
      </c>
      <c r="I15" s="14">
        <v>17.274999999999999</v>
      </c>
      <c r="J15" s="14">
        <v>19.675000000000001</v>
      </c>
      <c r="K15" s="14">
        <v>21.92</v>
      </c>
      <c r="L15" s="14">
        <v>22.617999999999999</v>
      </c>
      <c r="M15" s="14">
        <v>24.725000000000001</v>
      </c>
      <c r="N15" s="14">
        <v>26.757000000000001</v>
      </c>
      <c r="O15" s="14">
        <v>29.353999999999999</v>
      </c>
      <c r="P15" s="14">
        <v>31.263999999999999</v>
      </c>
    </row>
    <row r="16" spans="1:16">
      <c r="A16" s="13">
        <v>12</v>
      </c>
      <c r="B16" s="14">
        <v>3.0739999999999998</v>
      </c>
      <c r="C16" s="14">
        <v>3.5710000000000002</v>
      </c>
      <c r="D16" s="14">
        <v>4.4039999999999999</v>
      </c>
      <c r="E16" s="14">
        <v>5.226</v>
      </c>
      <c r="F16" s="14">
        <v>6.3040000000000003</v>
      </c>
      <c r="G16" s="14">
        <v>11.34</v>
      </c>
      <c r="H16" s="14">
        <v>15.811999999999999</v>
      </c>
      <c r="I16" s="14">
        <v>18.548999999999999</v>
      </c>
      <c r="J16" s="14">
        <v>21.026</v>
      </c>
      <c r="K16" s="14">
        <v>23.337</v>
      </c>
      <c r="L16" s="14">
        <v>24.053999999999998</v>
      </c>
      <c r="M16" s="14">
        <v>26.216999999999999</v>
      </c>
      <c r="N16" s="14">
        <v>28.3</v>
      </c>
      <c r="O16" s="14">
        <v>30.957000000000001</v>
      </c>
      <c r="P16" s="14">
        <v>32.908999999999999</v>
      </c>
    </row>
    <row r="17" spans="1:16">
      <c r="A17" s="13">
        <v>13</v>
      </c>
      <c r="B17" s="14">
        <v>3.5649999999999999</v>
      </c>
      <c r="C17" s="14">
        <v>4.1070000000000002</v>
      </c>
      <c r="D17" s="14">
        <v>5.0090000000000003</v>
      </c>
      <c r="E17" s="14">
        <v>5.8920000000000003</v>
      </c>
      <c r="F17" s="14">
        <v>7.0419999999999998</v>
      </c>
      <c r="G17" s="14">
        <v>12.34</v>
      </c>
      <c r="H17" s="14">
        <v>16.984999999999999</v>
      </c>
      <c r="I17" s="14">
        <v>19.812000000000001</v>
      </c>
      <c r="J17" s="14">
        <v>22.361999999999998</v>
      </c>
      <c r="K17" s="14">
        <v>24.736000000000001</v>
      </c>
      <c r="L17" s="14">
        <v>25.472000000000001</v>
      </c>
      <c r="M17" s="14">
        <v>27.687999999999999</v>
      </c>
      <c r="N17" s="14">
        <v>29.818999999999999</v>
      </c>
      <c r="O17" s="14">
        <v>32.534999999999997</v>
      </c>
      <c r="P17" s="14">
        <v>34.527999999999999</v>
      </c>
    </row>
    <row r="18" spans="1:16">
      <c r="A18" s="13">
        <v>14</v>
      </c>
      <c r="B18" s="14">
        <v>4.0750000000000002</v>
      </c>
      <c r="C18" s="14">
        <v>4.66</v>
      </c>
      <c r="D18" s="14">
        <v>5.6289999999999996</v>
      </c>
      <c r="E18" s="14">
        <v>6.5709999999999997</v>
      </c>
      <c r="F18" s="14">
        <v>7.79</v>
      </c>
      <c r="G18" s="14">
        <v>13.339</v>
      </c>
      <c r="H18" s="14">
        <v>18.151</v>
      </c>
      <c r="I18" s="14">
        <v>21.064</v>
      </c>
      <c r="J18" s="14">
        <v>23.684999999999999</v>
      </c>
      <c r="K18" s="14">
        <v>26.119</v>
      </c>
      <c r="L18" s="14">
        <v>26.873000000000001</v>
      </c>
      <c r="M18" s="14">
        <v>29.140999999999998</v>
      </c>
      <c r="N18" s="14">
        <v>31.318999999999999</v>
      </c>
      <c r="O18" s="14">
        <v>34.091000000000001</v>
      </c>
      <c r="P18" s="14">
        <v>36.122999999999998</v>
      </c>
    </row>
    <row r="19" spans="1:16">
      <c r="A19" s="13">
        <v>15</v>
      </c>
      <c r="B19" s="14">
        <v>4.601</v>
      </c>
      <c r="C19" s="14">
        <v>5.2290000000000001</v>
      </c>
      <c r="D19" s="14">
        <v>6.2619999999999996</v>
      </c>
      <c r="E19" s="14">
        <v>7.2610000000000001</v>
      </c>
      <c r="F19" s="14">
        <v>8.5470000000000006</v>
      </c>
      <c r="G19" s="14">
        <v>14.339</v>
      </c>
      <c r="H19" s="14">
        <v>19.311</v>
      </c>
      <c r="I19" s="14">
        <v>22.306999999999999</v>
      </c>
      <c r="J19" s="14">
        <v>24.995999999999999</v>
      </c>
      <c r="K19" s="14">
        <v>27.488</v>
      </c>
      <c r="L19" s="14">
        <v>28.259</v>
      </c>
      <c r="M19" s="14">
        <v>30.577999999999999</v>
      </c>
      <c r="N19" s="14">
        <v>32.801000000000002</v>
      </c>
      <c r="O19" s="14">
        <v>35.628</v>
      </c>
      <c r="P19" s="14">
        <v>37.697000000000003</v>
      </c>
    </row>
    <row r="20" spans="1:16">
      <c r="A20" s="13">
        <v>16</v>
      </c>
      <c r="B20" s="14">
        <v>5.1420000000000003</v>
      </c>
      <c r="C20" s="14">
        <v>5.8120000000000003</v>
      </c>
      <c r="D20" s="14">
        <v>6.9080000000000004</v>
      </c>
      <c r="E20" s="14">
        <v>7.9619999999999997</v>
      </c>
      <c r="F20" s="14">
        <v>9.3119999999999994</v>
      </c>
      <c r="G20" s="14">
        <v>15.337999999999999</v>
      </c>
      <c r="H20" s="14">
        <v>20.465</v>
      </c>
      <c r="I20" s="14">
        <v>23.542000000000002</v>
      </c>
      <c r="J20" s="14">
        <v>26.295999999999999</v>
      </c>
      <c r="K20" s="14">
        <v>28.844999999999999</v>
      </c>
      <c r="L20" s="14">
        <v>29.632999999999999</v>
      </c>
      <c r="M20" s="14">
        <v>32</v>
      </c>
      <c r="N20" s="14">
        <v>34.267000000000003</v>
      </c>
      <c r="O20" s="14">
        <v>37.146000000000001</v>
      </c>
      <c r="P20" s="14">
        <v>39.252000000000002</v>
      </c>
    </row>
    <row r="21" spans="1:16">
      <c r="A21" s="13">
        <v>17</v>
      </c>
      <c r="B21" s="14">
        <v>5.6970000000000001</v>
      </c>
      <c r="C21" s="14">
        <v>6.4080000000000004</v>
      </c>
      <c r="D21" s="14">
        <v>7.5640000000000001</v>
      </c>
      <c r="E21" s="14">
        <v>8.6720000000000006</v>
      </c>
      <c r="F21" s="14">
        <v>10.085000000000001</v>
      </c>
      <c r="G21" s="14">
        <v>16.338000000000001</v>
      </c>
      <c r="H21" s="14">
        <v>21.614999999999998</v>
      </c>
      <c r="I21" s="14">
        <v>24.768999999999998</v>
      </c>
      <c r="J21" s="14">
        <v>27.587</v>
      </c>
      <c r="K21" s="14">
        <v>30.190999999999999</v>
      </c>
      <c r="L21" s="14">
        <v>30.995000000000001</v>
      </c>
      <c r="M21" s="14">
        <v>33.408999999999999</v>
      </c>
      <c r="N21" s="14">
        <v>35.718000000000004</v>
      </c>
      <c r="O21" s="14">
        <v>38.648000000000003</v>
      </c>
      <c r="P21" s="14">
        <v>40.79</v>
      </c>
    </row>
    <row r="22" spans="1:16">
      <c r="A22" s="13">
        <v>18</v>
      </c>
      <c r="B22" s="14">
        <v>6.2649999999999997</v>
      </c>
      <c r="C22" s="14">
        <v>7.0149999999999997</v>
      </c>
      <c r="D22" s="14">
        <v>8.2309999999999999</v>
      </c>
      <c r="E22" s="14">
        <v>9.39</v>
      </c>
      <c r="F22" s="14">
        <v>10.865</v>
      </c>
      <c r="G22" s="14">
        <v>17.338000000000001</v>
      </c>
      <c r="H22" s="14">
        <v>22.76</v>
      </c>
      <c r="I22" s="14">
        <v>25.989000000000001</v>
      </c>
      <c r="J22" s="14">
        <v>28.869</v>
      </c>
      <c r="K22" s="14">
        <v>31.526</v>
      </c>
      <c r="L22" s="14">
        <v>32.345999999999997</v>
      </c>
      <c r="M22" s="14">
        <v>34.805</v>
      </c>
      <c r="N22" s="14">
        <v>37.155999999999999</v>
      </c>
      <c r="O22" s="14">
        <v>40.136000000000003</v>
      </c>
      <c r="P22" s="14">
        <v>42.311999999999998</v>
      </c>
    </row>
    <row r="23" spans="1:16">
      <c r="A23" s="13">
        <v>19</v>
      </c>
      <c r="B23" s="14">
        <v>6.8440000000000003</v>
      </c>
      <c r="C23" s="14">
        <v>7.633</v>
      </c>
      <c r="D23" s="14">
        <v>8.907</v>
      </c>
      <c r="E23" s="14">
        <v>10.117000000000001</v>
      </c>
      <c r="F23" s="14">
        <v>11.651</v>
      </c>
      <c r="G23" s="14">
        <v>18.338000000000001</v>
      </c>
      <c r="H23" s="14">
        <v>23.9</v>
      </c>
      <c r="I23" s="14">
        <v>27.204000000000001</v>
      </c>
      <c r="J23" s="14">
        <v>30.143999999999998</v>
      </c>
      <c r="K23" s="14">
        <v>32.851999999999997</v>
      </c>
      <c r="L23" s="14">
        <v>33.686999999999998</v>
      </c>
      <c r="M23" s="14">
        <v>36.191000000000003</v>
      </c>
      <c r="N23" s="14">
        <v>38.582000000000001</v>
      </c>
      <c r="O23" s="14">
        <v>41.61</v>
      </c>
      <c r="P23" s="14">
        <v>43.82</v>
      </c>
    </row>
    <row r="24" spans="1:16">
      <c r="A24" s="13">
        <v>20</v>
      </c>
      <c r="B24" s="14">
        <v>7.4340000000000002</v>
      </c>
      <c r="C24" s="14">
        <v>8.26</v>
      </c>
      <c r="D24" s="14">
        <v>9.5909999999999993</v>
      </c>
      <c r="E24" s="14">
        <v>10.851000000000001</v>
      </c>
      <c r="F24" s="14">
        <v>12.443</v>
      </c>
      <c r="G24" s="14">
        <v>19.337</v>
      </c>
      <c r="H24" s="14">
        <v>25.038</v>
      </c>
      <c r="I24" s="14">
        <v>28.411999999999999</v>
      </c>
      <c r="J24" s="14">
        <v>31.41</v>
      </c>
      <c r="K24" s="14">
        <v>34.17</v>
      </c>
      <c r="L24" s="14">
        <v>35.020000000000003</v>
      </c>
      <c r="M24" s="14">
        <v>37.566000000000003</v>
      </c>
      <c r="N24" s="14">
        <v>39.997</v>
      </c>
      <c r="O24" s="14">
        <v>43.072000000000003</v>
      </c>
      <c r="P24" s="14">
        <v>45.314999999999998</v>
      </c>
    </row>
    <row r="25" spans="1:16">
      <c r="A25" s="13">
        <v>21</v>
      </c>
      <c r="B25" s="14">
        <v>8.0340000000000007</v>
      </c>
      <c r="C25" s="14">
        <v>8.8970000000000002</v>
      </c>
      <c r="D25" s="14">
        <v>10.282999999999999</v>
      </c>
      <c r="E25" s="14">
        <v>11.590999999999999</v>
      </c>
      <c r="F25" s="14">
        <v>13.24</v>
      </c>
      <c r="G25" s="14">
        <v>20.337</v>
      </c>
      <c r="H25" s="14">
        <v>26.170999999999999</v>
      </c>
      <c r="I25" s="14">
        <v>29.614999999999998</v>
      </c>
      <c r="J25" s="14">
        <v>32.670999999999999</v>
      </c>
      <c r="K25" s="14">
        <v>35.478999999999999</v>
      </c>
      <c r="L25" s="14">
        <v>36.343000000000004</v>
      </c>
      <c r="M25" s="14">
        <v>38.932000000000002</v>
      </c>
      <c r="N25" s="14">
        <v>41.401000000000003</v>
      </c>
      <c r="O25" s="14">
        <v>44.521999999999998</v>
      </c>
      <c r="P25" s="14">
        <v>46.796999999999997</v>
      </c>
    </row>
    <row r="26" spans="1:16">
      <c r="A26" s="13">
        <v>22</v>
      </c>
      <c r="B26" s="14">
        <v>8.6430000000000007</v>
      </c>
      <c r="C26" s="14">
        <v>9.5419999999999998</v>
      </c>
      <c r="D26" s="14">
        <v>10.981999999999999</v>
      </c>
      <c r="E26" s="14">
        <v>12.337999999999999</v>
      </c>
      <c r="F26" s="14">
        <v>14.041</v>
      </c>
      <c r="G26" s="14">
        <v>21.337</v>
      </c>
      <c r="H26" s="14">
        <v>27.300999999999998</v>
      </c>
      <c r="I26" s="14">
        <v>30.812999999999999</v>
      </c>
      <c r="J26" s="14">
        <v>33.923999999999999</v>
      </c>
      <c r="K26" s="14">
        <v>36.780999999999999</v>
      </c>
      <c r="L26" s="14">
        <v>37.658999999999999</v>
      </c>
      <c r="M26" s="14">
        <v>40.289000000000001</v>
      </c>
      <c r="N26" s="14">
        <v>42.795999999999999</v>
      </c>
      <c r="O26" s="14">
        <v>45.962000000000003</v>
      </c>
      <c r="P26" s="14">
        <v>48.268000000000001</v>
      </c>
    </row>
    <row r="27" spans="1:16">
      <c r="A27" s="13">
        <v>23</v>
      </c>
      <c r="B27" s="14">
        <v>9.26</v>
      </c>
      <c r="C27" s="14">
        <v>10.196</v>
      </c>
      <c r="D27" s="14">
        <v>11.689</v>
      </c>
      <c r="E27" s="14">
        <v>13.090999999999999</v>
      </c>
      <c r="F27" s="14">
        <v>14.848000000000001</v>
      </c>
      <c r="G27" s="14">
        <v>22.337</v>
      </c>
      <c r="H27" s="14">
        <v>28.428999999999998</v>
      </c>
      <c r="I27" s="14">
        <v>32.006999999999998</v>
      </c>
      <c r="J27" s="14">
        <v>35.171999999999997</v>
      </c>
      <c r="K27" s="14">
        <v>38.076000000000001</v>
      </c>
      <c r="L27" s="14">
        <v>38.968000000000004</v>
      </c>
      <c r="M27" s="14">
        <v>41.637999999999998</v>
      </c>
      <c r="N27" s="14">
        <v>44.180999999999997</v>
      </c>
      <c r="O27" s="14">
        <v>47.390999999999998</v>
      </c>
      <c r="P27" s="14">
        <v>49.728000000000002</v>
      </c>
    </row>
    <row r="28" spans="1:16">
      <c r="A28" s="13">
        <v>24</v>
      </c>
      <c r="B28" s="14">
        <v>9.8859999999999992</v>
      </c>
      <c r="C28" s="14">
        <v>10.856</v>
      </c>
      <c r="D28" s="14">
        <v>12.401</v>
      </c>
      <c r="E28" s="14">
        <v>13.848000000000001</v>
      </c>
      <c r="F28" s="14">
        <v>15.659000000000001</v>
      </c>
      <c r="G28" s="14">
        <v>23.337</v>
      </c>
      <c r="H28" s="14">
        <v>29.553000000000001</v>
      </c>
      <c r="I28" s="14">
        <v>33.195999999999998</v>
      </c>
      <c r="J28" s="14">
        <v>36.414999999999999</v>
      </c>
      <c r="K28" s="14">
        <v>39.363999999999997</v>
      </c>
      <c r="L28" s="14">
        <v>40.270000000000003</v>
      </c>
      <c r="M28" s="14">
        <v>42.98</v>
      </c>
      <c r="N28" s="14">
        <v>45.558999999999997</v>
      </c>
      <c r="O28" s="14">
        <v>48.811999999999998</v>
      </c>
      <c r="P28" s="14">
        <v>51.179000000000002</v>
      </c>
    </row>
    <row r="29" spans="1:16">
      <c r="A29" s="13">
        <v>25</v>
      </c>
      <c r="B29" s="14">
        <v>10.52</v>
      </c>
      <c r="C29" s="14">
        <v>11.523999999999999</v>
      </c>
      <c r="D29" s="14">
        <v>13.12</v>
      </c>
      <c r="E29" s="14">
        <v>14.611000000000001</v>
      </c>
      <c r="F29" s="14">
        <v>16.472999999999999</v>
      </c>
      <c r="G29" s="14">
        <v>24.337</v>
      </c>
      <c r="H29" s="14">
        <v>30.675000000000001</v>
      </c>
      <c r="I29" s="14">
        <v>34.381999999999998</v>
      </c>
      <c r="J29" s="14">
        <v>37.652000000000001</v>
      </c>
      <c r="K29" s="14">
        <v>40.646000000000001</v>
      </c>
      <c r="L29" s="14">
        <v>41.566000000000003</v>
      </c>
      <c r="M29" s="14">
        <v>44.314</v>
      </c>
      <c r="N29" s="14">
        <v>46.927999999999997</v>
      </c>
      <c r="O29" s="14">
        <v>50.222999999999999</v>
      </c>
      <c r="P29" s="14">
        <v>52.62</v>
      </c>
    </row>
    <row r="30" spans="1:16">
      <c r="A30" s="13">
        <v>26</v>
      </c>
      <c r="B30" s="14">
        <v>11.16</v>
      </c>
      <c r="C30" s="14">
        <v>12.198</v>
      </c>
      <c r="D30" s="14">
        <v>13.843999999999999</v>
      </c>
      <c r="E30" s="14">
        <v>15.379</v>
      </c>
      <c r="F30" s="14">
        <v>17.292000000000002</v>
      </c>
      <c r="G30" s="14">
        <v>25.335999999999999</v>
      </c>
      <c r="H30" s="14">
        <v>31.795000000000002</v>
      </c>
      <c r="I30" s="14">
        <v>35.563000000000002</v>
      </c>
      <c r="J30" s="14">
        <v>38.884999999999998</v>
      </c>
      <c r="K30" s="14">
        <v>41.923000000000002</v>
      </c>
      <c r="L30" s="14">
        <v>42.856000000000002</v>
      </c>
      <c r="M30" s="14">
        <v>45.642000000000003</v>
      </c>
      <c r="N30" s="14">
        <v>48.29</v>
      </c>
      <c r="O30" s="14">
        <v>51.627000000000002</v>
      </c>
      <c r="P30" s="14">
        <v>54.052</v>
      </c>
    </row>
    <row r="31" spans="1:16">
      <c r="A31" s="13">
        <v>27</v>
      </c>
      <c r="B31" s="14">
        <v>11.808</v>
      </c>
      <c r="C31" s="14">
        <v>12.879</v>
      </c>
      <c r="D31" s="14">
        <v>14.573</v>
      </c>
      <c r="E31" s="14">
        <v>16.151</v>
      </c>
      <c r="F31" s="14">
        <v>18.114000000000001</v>
      </c>
      <c r="G31" s="14">
        <v>26.335999999999999</v>
      </c>
      <c r="H31" s="14">
        <v>32.911999999999999</v>
      </c>
      <c r="I31" s="14">
        <v>36.741</v>
      </c>
      <c r="J31" s="14">
        <v>40.113</v>
      </c>
      <c r="K31" s="14">
        <v>43.195</v>
      </c>
      <c r="L31" s="14">
        <v>44.14</v>
      </c>
      <c r="M31" s="14">
        <v>46.963000000000001</v>
      </c>
      <c r="N31" s="14">
        <v>49.645000000000003</v>
      </c>
      <c r="O31" s="14">
        <v>53.023000000000003</v>
      </c>
      <c r="P31" s="14">
        <v>55.475999999999999</v>
      </c>
    </row>
    <row r="32" spans="1:16">
      <c r="A32" s="13">
        <v>28</v>
      </c>
      <c r="B32" s="14">
        <v>12.461</v>
      </c>
      <c r="C32" s="14">
        <v>13.565</v>
      </c>
      <c r="D32" s="14">
        <v>15.308</v>
      </c>
      <c r="E32" s="14">
        <v>16.928000000000001</v>
      </c>
      <c r="F32" s="14">
        <v>18.939</v>
      </c>
      <c r="G32" s="14">
        <v>27.335999999999999</v>
      </c>
      <c r="H32" s="14">
        <v>34.027000000000001</v>
      </c>
      <c r="I32" s="14">
        <v>37.915999999999997</v>
      </c>
      <c r="J32" s="14">
        <v>41.337000000000003</v>
      </c>
      <c r="K32" s="14">
        <v>44.460999999999999</v>
      </c>
      <c r="L32" s="14">
        <v>45.418999999999997</v>
      </c>
      <c r="M32" s="14">
        <v>48.277999999999999</v>
      </c>
      <c r="N32" s="14">
        <v>50.993000000000002</v>
      </c>
      <c r="O32" s="14">
        <v>54.411000000000001</v>
      </c>
      <c r="P32" s="14">
        <v>56.892000000000003</v>
      </c>
    </row>
    <row r="33" spans="1:16">
      <c r="A33" s="13">
        <v>29</v>
      </c>
      <c r="B33" s="14">
        <v>13.121</v>
      </c>
      <c r="C33" s="14">
        <v>14.256</v>
      </c>
      <c r="D33" s="14">
        <v>16.047000000000001</v>
      </c>
      <c r="E33" s="14">
        <v>17.707999999999998</v>
      </c>
      <c r="F33" s="14">
        <v>19.768000000000001</v>
      </c>
      <c r="G33" s="14">
        <v>28.335999999999999</v>
      </c>
      <c r="H33" s="14">
        <v>35.139000000000003</v>
      </c>
      <c r="I33" s="14">
        <v>39.087000000000003</v>
      </c>
      <c r="J33" s="14">
        <v>42.557000000000002</v>
      </c>
      <c r="K33" s="14">
        <v>45.722000000000001</v>
      </c>
      <c r="L33" s="14">
        <v>46.692999999999998</v>
      </c>
      <c r="M33" s="14">
        <v>49.588000000000001</v>
      </c>
      <c r="N33" s="14">
        <v>52.335999999999999</v>
      </c>
      <c r="O33" s="14">
        <v>55.792000000000002</v>
      </c>
      <c r="P33" s="14">
        <v>58.301000000000002</v>
      </c>
    </row>
    <row r="34" spans="1:16">
      <c r="A34" s="13">
        <v>30</v>
      </c>
      <c r="B34" s="14">
        <v>13.787000000000001</v>
      </c>
      <c r="C34" s="14">
        <v>14.952999999999999</v>
      </c>
      <c r="D34" s="14">
        <v>16.791</v>
      </c>
      <c r="E34" s="14">
        <v>18.492999999999999</v>
      </c>
      <c r="F34" s="14">
        <v>20.599</v>
      </c>
      <c r="G34" s="14">
        <v>29.335999999999999</v>
      </c>
      <c r="H34" s="14">
        <v>36.25</v>
      </c>
      <c r="I34" s="14">
        <v>40.256</v>
      </c>
      <c r="J34" s="14">
        <v>43.773000000000003</v>
      </c>
      <c r="K34" s="14">
        <v>46.978999999999999</v>
      </c>
      <c r="L34" s="14">
        <v>47.962000000000003</v>
      </c>
      <c r="M34" s="14">
        <v>50.892000000000003</v>
      </c>
      <c r="N34" s="14">
        <v>53.671999999999997</v>
      </c>
      <c r="O34" s="14">
        <v>57.167000000000002</v>
      </c>
      <c r="P34" s="14">
        <v>59.703000000000003</v>
      </c>
    </row>
    <row r="35" spans="1:16">
      <c r="A35" s="13">
        <v>31</v>
      </c>
      <c r="B35" s="14">
        <v>14.458</v>
      </c>
      <c r="C35" s="14">
        <v>15.654999999999999</v>
      </c>
      <c r="D35" s="14">
        <v>17.539000000000001</v>
      </c>
      <c r="E35" s="14">
        <v>19.280999999999999</v>
      </c>
      <c r="F35" s="14">
        <v>21.434000000000001</v>
      </c>
      <c r="G35" s="14">
        <v>30.335999999999999</v>
      </c>
      <c r="H35" s="14">
        <v>37.359000000000002</v>
      </c>
      <c r="I35" s="14">
        <v>41.421999999999997</v>
      </c>
      <c r="J35" s="14">
        <v>44.984999999999999</v>
      </c>
      <c r="K35" s="14">
        <v>48.231999999999999</v>
      </c>
      <c r="L35" s="14">
        <v>49.225999999999999</v>
      </c>
      <c r="M35" s="14">
        <v>52.191000000000003</v>
      </c>
      <c r="N35" s="14">
        <v>55.003</v>
      </c>
      <c r="O35" s="14">
        <v>58.536000000000001</v>
      </c>
      <c r="P35" s="14">
        <v>61.097999999999999</v>
      </c>
    </row>
    <row r="36" spans="1:16">
      <c r="A36" s="13">
        <v>32</v>
      </c>
      <c r="B36" s="14">
        <v>15.134</v>
      </c>
      <c r="C36" s="14">
        <v>16.361999999999998</v>
      </c>
      <c r="D36" s="14">
        <v>18.291</v>
      </c>
      <c r="E36" s="14">
        <v>20.071999999999999</v>
      </c>
      <c r="F36" s="14">
        <v>22.271000000000001</v>
      </c>
      <c r="G36" s="14">
        <v>31.335999999999999</v>
      </c>
      <c r="H36" s="14">
        <v>38.466000000000001</v>
      </c>
      <c r="I36" s="14">
        <v>42.585000000000001</v>
      </c>
      <c r="J36" s="14">
        <v>46.194000000000003</v>
      </c>
      <c r="K36" s="14">
        <v>49.48</v>
      </c>
      <c r="L36" s="14">
        <v>50.487000000000002</v>
      </c>
      <c r="M36" s="14">
        <v>53.485999999999997</v>
      </c>
      <c r="N36" s="14">
        <v>56.328000000000003</v>
      </c>
      <c r="O36" s="14">
        <v>59.899000000000001</v>
      </c>
      <c r="P36" s="14">
        <v>62.487000000000002</v>
      </c>
    </row>
    <row r="37" spans="1:16">
      <c r="A37" s="13">
        <v>33</v>
      </c>
      <c r="B37" s="14">
        <v>15.815</v>
      </c>
      <c r="C37" s="14">
        <v>17.074000000000002</v>
      </c>
      <c r="D37" s="14">
        <v>19.047000000000001</v>
      </c>
      <c r="E37" s="14">
        <v>20.867000000000001</v>
      </c>
      <c r="F37" s="14">
        <v>23.11</v>
      </c>
      <c r="G37" s="14">
        <v>32.335999999999999</v>
      </c>
      <c r="H37" s="14">
        <v>39.572000000000003</v>
      </c>
      <c r="I37" s="14">
        <v>43.744999999999997</v>
      </c>
      <c r="J37" s="14">
        <v>47.4</v>
      </c>
      <c r="K37" s="14">
        <v>50.725000000000001</v>
      </c>
      <c r="L37" s="14">
        <v>51.743000000000002</v>
      </c>
      <c r="M37" s="14">
        <v>54.776000000000003</v>
      </c>
      <c r="N37" s="14">
        <v>57.648000000000003</v>
      </c>
      <c r="O37" s="14">
        <v>61.256</v>
      </c>
      <c r="P37" s="14">
        <v>63.87</v>
      </c>
    </row>
    <row r="38" spans="1:16">
      <c r="A38" s="13">
        <v>34</v>
      </c>
      <c r="B38" s="14">
        <v>16.501000000000001</v>
      </c>
      <c r="C38" s="14">
        <v>17.789000000000001</v>
      </c>
      <c r="D38" s="14">
        <v>19.806000000000001</v>
      </c>
      <c r="E38" s="14">
        <v>21.664000000000001</v>
      </c>
      <c r="F38" s="14">
        <v>23.952000000000002</v>
      </c>
      <c r="G38" s="14">
        <v>33.335999999999999</v>
      </c>
      <c r="H38" s="14">
        <v>40.676000000000002</v>
      </c>
      <c r="I38" s="14">
        <v>44.902999999999999</v>
      </c>
      <c r="J38" s="14">
        <v>48.601999999999997</v>
      </c>
      <c r="K38" s="14">
        <v>51.966000000000001</v>
      </c>
      <c r="L38" s="14">
        <v>52.994999999999997</v>
      </c>
      <c r="M38" s="14">
        <v>56.061</v>
      </c>
      <c r="N38" s="14">
        <v>58.963999999999999</v>
      </c>
      <c r="O38" s="14">
        <v>62.607999999999997</v>
      </c>
      <c r="P38" s="14">
        <v>65.247</v>
      </c>
    </row>
    <row r="39" spans="1:16">
      <c r="A39" s="13">
        <v>35</v>
      </c>
      <c r="B39" s="14">
        <v>17.192</v>
      </c>
      <c r="C39" s="14">
        <v>18.509</v>
      </c>
      <c r="D39" s="14">
        <v>20.568999999999999</v>
      </c>
      <c r="E39" s="14">
        <v>22.465</v>
      </c>
      <c r="F39" s="14">
        <v>24.797000000000001</v>
      </c>
      <c r="G39" s="14">
        <v>34.335999999999999</v>
      </c>
      <c r="H39" s="14">
        <v>41.777999999999999</v>
      </c>
      <c r="I39" s="14">
        <v>46.058999999999997</v>
      </c>
      <c r="J39" s="14">
        <v>49.802</v>
      </c>
      <c r="K39" s="14">
        <v>53.203000000000003</v>
      </c>
      <c r="L39" s="14">
        <v>54.244</v>
      </c>
      <c r="M39" s="14">
        <v>57.341999999999999</v>
      </c>
      <c r="N39" s="14">
        <v>60.274999999999999</v>
      </c>
      <c r="O39" s="14">
        <v>63.954999999999998</v>
      </c>
      <c r="P39" s="14">
        <v>66.619</v>
      </c>
    </row>
    <row r="40" spans="1:16">
      <c r="A40" s="13">
        <v>36</v>
      </c>
      <c r="B40" s="14">
        <v>17.887</v>
      </c>
      <c r="C40" s="14">
        <v>19.233000000000001</v>
      </c>
      <c r="D40" s="14">
        <v>21.335999999999999</v>
      </c>
      <c r="E40" s="14">
        <v>23.268999999999998</v>
      </c>
      <c r="F40" s="14">
        <v>25.643000000000001</v>
      </c>
      <c r="G40" s="14">
        <v>35.335999999999999</v>
      </c>
      <c r="H40" s="14">
        <v>42.878999999999998</v>
      </c>
      <c r="I40" s="14">
        <v>47.212000000000003</v>
      </c>
      <c r="J40" s="14">
        <v>50.997999999999998</v>
      </c>
      <c r="K40" s="14">
        <v>54.436999999999998</v>
      </c>
      <c r="L40" s="14">
        <v>55.488999999999997</v>
      </c>
      <c r="M40" s="14">
        <v>58.619</v>
      </c>
      <c r="N40" s="14">
        <v>61.581000000000003</v>
      </c>
      <c r="O40" s="14">
        <v>65.296000000000006</v>
      </c>
      <c r="P40" s="14">
        <v>67.984999999999999</v>
      </c>
    </row>
    <row r="41" spans="1:16">
      <c r="A41" s="13">
        <v>37</v>
      </c>
      <c r="B41" s="14">
        <v>18.585999999999999</v>
      </c>
      <c r="C41" s="14">
        <v>19.96</v>
      </c>
      <c r="D41" s="14">
        <v>22.106000000000002</v>
      </c>
      <c r="E41" s="14">
        <v>24.074999999999999</v>
      </c>
      <c r="F41" s="14">
        <v>26.492000000000001</v>
      </c>
      <c r="G41" s="14">
        <v>36.335999999999999</v>
      </c>
      <c r="H41" s="14">
        <v>43.978000000000002</v>
      </c>
      <c r="I41" s="14">
        <v>48.363</v>
      </c>
      <c r="J41" s="14">
        <v>52.192</v>
      </c>
      <c r="K41" s="14">
        <v>55.667999999999999</v>
      </c>
      <c r="L41" s="14">
        <v>56.73</v>
      </c>
      <c r="M41" s="14">
        <v>59.892000000000003</v>
      </c>
      <c r="N41" s="14">
        <v>62.883000000000003</v>
      </c>
      <c r="O41" s="14">
        <v>66.632999999999996</v>
      </c>
      <c r="P41" s="14">
        <v>69.346000000000004</v>
      </c>
    </row>
    <row r="42" spans="1:16">
      <c r="A42" s="13">
        <v>38</v>
      </c>
      <c r="B42" s="14">
        <v>19.289000000000001</v>
      </c>
      <c r="C42" s="14">
        <v>20.690999999999999</v>
      </c>
      <c r="D42" s="14">
        <v>22.878</v>
      </c>
      <c r="E42" s="14">
        <v>24.884</v>
      </c>
      <c r="F42" s="14">
        <v>27.343</v>
      </c>
      <c r="G42" s="14">
        <v>37.335000000000001</v>
      </c>
      <c r="H42" s="14">
        <v>45.076000000000001</v>
      </c>
      <c r="I42" s="14">
        <v>49.512999999999998</v>
      </c>
      <c r="J42" s="14">
        <v>53.384</v>
      </c>
      <c r="K42" s="14">
        <v>56.896000000000001</v>
      </c>
      <c r="L42" s="14">
        <v>57.969000000000001</v>
      </c>
      <c r="M42" s="14">
        <v>61.161999999999999</v>
      </c>
      <c r="N42" s="14">
        <v>64.180999999999997</v>
      </c>
      <c r="O42" s="14">
        <v>67.965999999999994</v>
      </c>
      <c r="P42" s="14">
        <v>70.703000000000003</v>
      </c>
    </row>
    <row r="43" spans="1:16">
      <c r="A43" s="13">
        <v>39</v>
      </c>
      <c r="B43" s="14">
        <v>19.995999999999999</v>
      </c>
      <c r="C43" s="14">
        <v>21.425999999999998</v>
      </c>
      <c r="D43" s="14">
        <v>23.654</v>
      </c>
      <c r="E43" s="14">
        <v>25.695</v>
      </c>
      <c r="F43" s="14">
        <v>28.196000000000002</v>
      </c>
      <c r="G43" s="14">
        <v>38.335000000000001</v>
      </c>
      <c r="H43" s="14">
        <v>46.173000000000002</v>
      </c>
      <c r="I43" s="14">
        <v>50.66</v>
      </c>
      <c r="J43" s="14">
        <v>54.572000000000003</v>
      </c>
      <c r="K43" s="14">
        <v>58.12</v>
      </c>
      <c r="L43" s="14">
        <v>59.204000000000001</v>
      </c>
      <c r="M43" s="14">
        <v>62.427999999999997</v>
      </c>
      <c r="N43" s="14">
        <v>65.475999999999999</v>
      </c>
      <c r="O43" s="14">
        <v>69.293999999999997</v>
      </c>
      <c r="P43" s="14">
        <v>72.055000000000007</v>
      </c>
    </row>
    <row r="44" spans="1:16">
      <c r="A44" s="13">
        <v>40</v>
      </c>
      <c r="B44" s="14">
        <v>20.707000000000001</v>
      </c>
      <c r="C44" s="14">
        <v>22.164000000000001</v>
      </c>
      <c r="D44" s="14">
        <v>24.433</v>
      </c>
      <c r="E44" s="14">
        <v>26.509</v>
      </c>
      <c r="F44" s="14">
        <v>29.050999999999998</v>
      </c>
      <c r="G44" s="14">
        <v>39.335000000000001</v>
      </c>
      <c r="H44" s="14">
        <v>47.268999999999998</v>
      </c>
      <c r="I44" s="14">
        <v>51.805</v>
      </c>
      <c r="J44" s="14">
        <v>55.758000000000003</v>
      </c>
      <c r="K44" s="14">
        <v>59.341999999999999</v>
      </c>
      <c r="L44" s="14">
        <v>60.436</v>
      </c>
      <c r="M44" s="14">
        <v>63.691000000000003</v>
      </c>
      <c r="N44" s="14">
        <v>66.766000000000005</v>
      </c>
      <c r="O44" s="14">
        <v>70.617999999999995</v>
      </c>
      <c r="P44" s="14">
        <v>73.402000000000001</v>
      </c>
    </row>
    <row r="45" spans="1:16">
      <c r="A45" s="13">
        <v>41</v>
      </c>
      <c r="B45" s="14">
        <v>21.420999999999999</v>
      </c>
      <c r="C45" s="14">
        <v>22.905999999999999</v>
      </c>
      <c r="D45" s="14">
        <v>25.215</v>
      </c>
      <c r="E45" s="14">
        <v>27.326000000000001</v>
      </c>
      <c r="F45" s="14">
        <v>29.907</v>
      </c>
      <c r="G45" s="14">
        <v>40.335000000000001</v>
      </c>
      <c r="H45" s="14">
        <v>48.363</v>
      </c>
      <c r="I45" s="14">
        <v>52.948999999999998</v>
      </c>
      <c r="J45" s="14">
        <v>56.942</v>
      </c>
      <c r="K45" s="14">
        <v>60.561</v>
      </c>
      <c r="L45" s="14">
        <v>61.664999999999999</v>
      </c>
      <c r="M45" s="14">
        <v>64.95</v>
      </c>
      <c r="N45" s="14">
        <v>68.052999999999997</v>
      </c>
      <c r="O45" s="14">
        <v>71.938000000000002</v>
      </c>
      <c r="P45" s="14">
        <v>74.745000000000005</v>
      </c>
    </row>
    <row r="46" spans="1:16">
      <c r="A46" s="13">
        <v>42</v>
      </c>
      <c r="B46" s="14">
        <v>22.138000000000002</v>
      </c>
      <c r="C46" s="14">
        <v>23.65</v>
      </c>
      <c r="D46" s="14">
        <v>25.998999999999999</v>
      </c>
      <c r="E46" s="14">
        <v>28.143999999999998</v>
      </c>
      <c r="F46" s="14">
        <v>30.765000000000001</v>
      </c>
      <c r="G46" s="14">
        <v>41.335000000000001</v>
      </c>
      <c r="H46" s="14">
        <v>49.456000000000003</v>
      </c>
      <c r="I46" s="14">
        <v>54.09</v>
      </c>
      <c r="J46" s="14">
        <v>58.124000000000002</v>
      </c>
      <c r="K46" s="14">
        <v>61.777000000000001</v>
      </c>
      <c r="L46" s="14">
        <v>62.892000000000003</v>
      </c>
      <c r="M46" s="14">
        <v>66.206000000000003</v>
      </c>
      <c r="N46" s="14">
        <v>69.335999999999999</v>
      </c>
      <c r="O46" s="14">
        <v>73.254000000000005</v>
      </c>
      <c r="P46" s="14">
        <v>76.084000000000003</v>
      </c>
    </row>
    <row r="47" spans="1:16">
      <c r="A47" s="13">
        <v>43</v>
      </c>
      <c r="B47" s="14">
        <v>22.859000000000002</v>
      </c>
      <c r="C47" s="14">
        <v>24.398</v>
      </c>
      <c r="D47" s="14">
        <v>26.785</v>
      </c>
      <c r="E47" s="14">
        <v>28.965</v>
      </c>
      <c r="F47" s="14">
        <v>31.625</v>
      </c>
      <c r="G47" s="14">
        <v>42.335000000000001</v>
      </c>
      <c r="H47" s="14">
        <v>50.548000000000002</v>
      </c>
      <c r="I47" s="14">
        <v>55.23</v>
      </c>
      <c r="J47" s="14">
        <v>59.304000000000002</v>
      </c>
      <c r="K47" s="14">
        <v>62.99</v>
      </c>
      <c r="L47" s="14">
        <v>64.116</v>
      </c>
      <c r="M47" s="14">
        <v>67.459000000000003</v>
      </c>
      <c r="N47" s="14">
        <v>70.616</v>
      </c>
      <c r="O47" s="14">
        <v>74.566000000000003</v>
      </c>
      <c r="P47" s="14">
        <v>77.418999999999997</v>
      </c>
    </row>
    <row r="48" spans="1:16">
      <c r="A48" s="13">
        <v>44</v>
      </c>
      <c r="B48" s="14">
        <v>23.584</v>
      </c>
      <c r="C48" s="14">
        <v>25.148</v>
      </c>
      <c r="D48" s="14">
        <v>27.574999999999999</v>
      </c>
      <c r="E48" s="14">
        <v>29.786999999999999</v>
      </c>
      <c r="F48" s="14">
        <v>32.487000000000002</v>
      </c>
      <c r="G48" s="14">
        <v>43.335000000000001</v>
      </c>
      <c r="H48" s="14">
        <v>51.639000000000003</v>
      </c>
      <c r="I48" s="14">
        <v>56.369</v>
      </c>
      <c r="J48" s="14">
        <v>60.481000000000002</v>
      </c>
      <c r="K48" s="14">
        <v>64.200999999999993</v>
      </c>
      <c r="L48" s="14">
        <v>65.337000000000003</v>
      </c>
      <c r="M48" s="14">
        <v>68.709999999999994</v>
      </c>
      <c r="N48" s="14">
        <v>71.893000000000001</v>
      </c>
      <c r="O48" s="14">
        <v>75.873999999999995</v>
      </c>
      <c r="P48" s="14">
        <v>78.75</v>
      </c>
    </row>
    <row r="49" spans="1:16">
      <c r="A49" s="13">
        <v>45</v>
      </c>
      <c r="B49" s="14">
        <v>24.311</v>
      </c>
      <c r="C49" s="14">
        <v>25.901</v>
      </c>
      <c r="D49" s="14">
        <v>28.366</v>
      </c>
      <c r="E49" s="14">
        <v>30.611999999999998</v>
      </c>
      <c r="F49" s="14">
        <v>33.35</v>
      </c>
      <c r="G49" s="14">
        <v>44.335000000000001</v>
      </c>
      <c r="H49" s="14">
        <v>52.728999999999999</v>
      </c>
      <c r="I49" s="14">
        <v>57.505000000000003</v>
      </c>
      <c r="J49" s="14">
        <v>61.655999999999999</v>
      </c>
      <c r="K49" s="14">
        <v>65.41</v>
      </c>
      <c r="L49" s="14">
        <v>66.555000000000007</v>
      </c>
      <c r="M49" s="14">
        <v>69.956999999999994</v>
      </c>
      <c r="N49" s="14">
        <v>73.165999999999997</v>
      </c>
      <c r="O49" s="14">
        <v>77.179000000000002</v>
      </c>
      <c r="P49" s="14">
        <v>80.076999999999998</v>
      </c>
    </row>
    <row r="50" spans="1:16">
      <c r="A50" s="13">
        <v>46</v>
      </c>
      <c r="B50" s="14">
        <v>25.041</v>
      </c>
      <c r="C50" s="14">
        <v>26.657</v>
      </c>
      <c r="D50" s="14">
        <v>29.16</v>
      </c>
      <c r="E50" s="14">
        <v>31.439</v>
      </c>
      <c r="F50" s="14">
        <v>34.215000000000003</v>
      </c>
      <c r="G50" s="14">
        <v>45.335000000000001</v>
      </c>
      <c r="H50" s="14">
        <v>53.817999999999998</v>
      </c>
      <c r="I50" s="14">
        <v>58.640999999999998</v>
      </c>
      <c r="J50" s="14">
        <v>62.83</v>
      </c>
      <c r="K50" s="14">
        <v>66.617000000000004</v>
      </c>
      <c r="L50" s="14">
        <v>67.771000000000001</v>
      </c>
      <c r="M50" s="14">
        <v>71.200999999999993</v>
      </c>
      <c r="N50" s="14">
        <v>74.436999999999998</v>
      </c>
      <c r="O50" s="14">
        <v>78.480999999999995</v>
      </c>
      <c r="P50" s="14">
        <v>81.400000000000006</v>
      </c>
    </row>
    <row r="51" spans="1:16">
      <c r="A51" s="13">
        <v>47</v>
      </c>
      <c r="B51" s="14">
        <v>25.774999999999999</v>
      </c>
      <c r="C51" s="14">
        <v>27.416</v>
      </c>
      <c r="D51" s="14">
        <v>29.956</v>
      </c>
      <c r="E51" s="14">
        <v>32.268000000000001</v>
      </c>
      <c r="F51" s="14">
        <v>35.081000000000003</v>
      </c>
      <c r="G51" s="14">
        <v>46.335000000000001</v>
      </c>
      <c r="H51" s="14">
        <v>54.905999999999999</v>
      </c>
      <c r="I51" s="14">
        <v>59.774000000000001</v>
      </c>
      <c r="J51" s="14">
        <v>64.001000000000005</v>
      </c>
      <c r="K51" s="14">
        <v>67.820999999999998</v>
      </c>
      <c r="L51" s="14">
        <v>68.984999999999999</v>
      </c>
      <c r="M51" s="14">
        <v>72.442999999999998</v>
      </c>
      <c r="N51" s="14">
        <v>75.703999999999994</v>
      </c>
      <c r="O51" s="14">
        <v>79.78</v>
      </c>
      <c r="P51" s="14">
        <v>82.72</v>
      </c>
    </row>
    <row r="52" spans="1:16">
      <c r="A52" s="13">
        <v>48</v>
      </c>
      <c r="B52" s="14">
        <v>26.510999999999999</v>
      </c>
      <c r="C52" s="14">
        <v>28.177</v>
      </c>
      <c r="D52" s="14">
        <v>30.754999999999999</v>
      </c>
      <c r="E52" s="14">
        <v>33.097999999999999</v>
      </c>
      <c r="F52" s="14">
        <v>35.948999999999998</v>
      </c>
      <c r="G52" s="14">
        <v>47.335000000000001</v>
      </c>
      <c r="H52" s="14">
        <v>55.993000000000002</v>
      </c>
      <c r="I52" s="14">
        <v>60.906999999999996</v>
      </c>
      <c r="J52" s="14">
        <v>65.171000000000006</v>
      </c>
      <c r="K52" s="14">
        <v>69.022999999999996</v>
      </c>
      <c r="L52" s="14">
        <v>70.197000000000003</v>
      </c>
      <c r="M52" s="14">
        <v>73.683000000000007</v>
      </c>
      <c r="N52" s="14">
        <v>76.968999999999994</v>
      </c>
      <c r="O52" s="14">
        <v>81.075000000000003</v>
      </c>
      <c r="P52" s="14">
        <v>84.037000000000006</v>
      </c>
    </row>
    <row r="53" spans="1:16">
      <c r="A53" s="13">
        <v>49</v>
      </c>
      <c r="B53" s="14">
        <v>27.248999999999999</v>
      </c>
      <c r="C53" s="14">
        <v>28.940999999999999</v>
      </c>
      <c r="D53" s="14">
        <v>31.555</v>
      </c>
      <c r="E53" s="14">
        <v>33.93</v>
      </c>
      <c r="F53" s="14">
        <v>36.817999999999998</v>
      </c>
      <c r="G53" s="14">
        <v>48.335000000000001</v>
      </c>
      <c r="H53" s="14">
        <v>57.079000000000001</v>
      </c>
      <c r="I53" s="14">
        <v>62.037999999999997</v>
      </c>
      <c r="J53" s="14">
        <v>66.338999999999999</v>
      </c>
      <c r="K53" s="14">
        <v>70.221999999999994</v>
      </c>
      <c r="L53" s="14">
        <v>71.406000000000006</v>
      </c>
      <c r="M53" s="14">
        <v>74.918999999999997</v>
      </c>
      <c r="N53" s="14">
        <v>78.230999999999995</v>
      </c>
      <c r="O53" s="14">
        <v>82.367000000000004</v>
      </c>
      <c r="P53" s="14">
        <v>85.350999999999999</v>
      </c>
    </row>
    <row r="54" spans="1:16">
      <c r="A54" s="13">
        <v>50</v>
      </c>
      <c r="B54" s="14">
        <v>27.991</v>
      </c>
      <c r="C54" s="14">
        <v>29.707000000000001</v>
      </c>
      <c r="D54" s="14">
        <v>32.356999999999999</v>
      </c>
      <c r="E54" s="14">
        <v>34.764000000000003</v>
      </c>
      <c r="F54" s="14">
        <v>37.689</v>
      </c>
      <c r="G54" s="14">
        <v>49.335000000000001</v>
      </c>
      <c r="H54" s="14">
        <v>58.164000000000001</v>
      </c>
      <c r="I54" s="14">
        <v>63.167000000000002</v>
      </c>
      <c r="J54" s="14">
        <v>67.504999999999995</v>
      </c>
      <c r="K54" s="14">
        <v>71.42</v>
      </c>
      <c r="L54" s="14">
        <v>72.613</v>
      </c>
      <c r="M54" s="14">
        <v>76.153999999999996</v>
      </c>
      <c r="N54" s="14">
        <v>79.489999999999995</v>
      </c>
      <c r="O54" s="14">
        <v>83.656999999999996</v>
      </c>
      <c r="P54" s="14">
        <v>86.661000000000001</v>
      </c>
    </row>
    <row r="55" spans="1:16">
      <c r="A55" s="13"/>
      <c r="B55" s="13">
        <v>0.995</v>
      </c>
      <c r="C55" s="13">
        <v>0.99</v>
      </c>
      <c r="D55" s="13">
        <v>0.97499999999999998</v>
      </c>
      <c r="E55" s="13">
        <v>0.95</v>
      </c>
      <c r="F55" s="13">
        <v>0.9</v>
      </c>
      <c r="G55" s="13">
        <v>0.5</v>
      </c>
      <c r="H55" s="13">
        <v>0.2</v>
      </c>
      <c r="I55" s="13">
        <v>0.1</v>
      </c>
      <c r="J55" s="13">
        <v>0.05</v>
      </c>
      <c r="K55" s="13">
        <v>2.5000000000000001E-2</v>
      </c>
      <c r="L55" s="13">
        <v>0.02</v>
      </c>
      <c r="M55" s="13">
        <v>0.01</v>
      </c>
      <c r="N55" s="13">
        <v>5.0000000000000001E-3</v>
      </c>
      <c r="O55" s="13">
        <v>2E-3</v>
      </c>
      <c r="P55" s="13">
        <v>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S188"/>
  <sheetViews>
    <sheetView topLeftCell="B1" zoomScale="76" workbookViewId="0">
      <selection activeCell="R65" sqref="R65:R70"/>
    </sheetView>
  </sheetViews>
  <sheetFormatPr defaultRowHeight="14.4"/>
  <cols>
    <col min="2" max="2" width="11.6640625" bestFit="1" customWidth="1"/>
    <col min="3" max="3" width="17.5546875" bestFit="1" customWidth="1"/>
    <col min="4" max="4" width="21.33203125" bestFit="1" customWidth="1"/>
    <col min="5" max="5" width="17.44140625" bestFit="1" customWidth="1"/>
    <col min="7" max="8" width="21.33203125" bestFit="1" customWidth="1"/>
    <col min="10" max="11" width="21.33203125" bestFit="1" customWidth="1"/>
    <col min="12" max="12" width="25.44140625" bestFit="1" customWidth="1"/>
    <col min="13" max="13" width="12" bestFit="1" customWidth="1"/>
    <col min="14" max="14" width="21.33203125" bestFit="1" customWidth="1"/>
    <col min="15" max="15" width="12" bestFit="1" customWidth="1"/>
    <col min="16" max="16" width="29" bestFit="1" customWidth="1"/>
    <col min="17" max="17" width="21" bestFit="1" customWidth="1"/>
    <col min="19" max="19" width="21" customWidth="1"/>
  </cols>
  <sheetData>
    <row r="2" spans="1:19" ht="23.4">
      <c r="A2" s="27" t="s">
        <v>33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3"/>
      <c r="R2" s="3"/>
    </row>
    <row r="3" spans="1:19" ht="23.4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3"/>
      <c r="R3" s="3"/>
    </row>
    <row r="5" spans="1:19">
      <c r="A5" t="s">
        <v>34</v>
      </c>
      <c r="C5" t="s">
        <v>35</v>
      </c>
    </row>
    <row r="6" spans="1:19" ht="24.6">
      <c r="S6" s="8" t="s">
        <v>38</v>
      </c>
    </row>
    <row r="7" spans="1:19">
      <c r="A7" t="s">
        <v>42</v>
      </c>
      <c r="S7" s="9"/>
    </row>
    <row r="8" spans="1:19" ht="21">
      <c r="S8" s="10" t="s">
        <v>39</v>
      </c>
    </row>
    <row r="9" spans="1:19">
      <c r="B9" t="s">
        <v>0</v>
      </c>
      <c r="E9" t="s">
        <v>36</v>
      </c>
      <c r="S9" s="9"/>
    </row>
    <row r="10" spans="1:19" ht="21">
      <c r="E10">
        <f>_xlfn.Z.TEST(B12:B21,100,15)</f>
        <v>0.83911985237406705</v>
      </c>
      <c r="P10">
        <f>(AVERAGE(B12:B22)-97)/(15/SQRT(COUNT(B12:B22)))</f>
        <v>-0.18090680674665702</v>
      </c>
      <c r="S10" s="10" t="s">
        <v>40</v>
      </c>
    </row>
    <row r="11" spans="1:19">
      <c r="S11" s="9"/>
    </row>
    <row r="12" spans="1:19" ht="21">
      <c r="B12">
        <v>88</v>
      </c>
      <c r="E12" t="s">
        <v>37</v>
      </c>
      <c r="S12" s="10" t="s">
        <v>41</v>
      </c>
    </row>
    <row r="13" spans="1:19">
      <c r="B13">
        <v>92</v>
      </c>
      <c r="E13">
        <f>(AVERAGE(B12:B22)-97)/(_xlfn.STDEV.S(B12:B22)/SQRT(COUNT(B12:B22)))</f>
        <v>-0.62313960891246889</v>
      </c>
    </row>
    <row r="14" spans="1:19">
      <c r="B14">
        <v>94</v>
      </c>
    </row>
    <row r="15" spans="1:19">
      <c r="B15">
        <v>94</v>
      </c>
      <c r="E15" t="s">
        <v>57</v>
      </c>
    </row>
    <row r="16" spans="1:19">
      <c r="B16">
        <v>96</v>
      </c>
    </row>
    <row r="17" spans="1:17">
      <c r="B17">
        <v>97</v>
      </c>
    </row>
    <row r="18" spans="1:17">
      <c r="B18">
        <v>97</v>
      </c>
      <c r="E18" t="s">
        <v>58</v>
      </c>
      <c r="F18">
        <f>COUNT(B12:B22)</f>
        <v>11</v>
      </c>
      <c r="P18">
        <f>COUNT(B12:B22)</f>
        <v>11</v>
      </c>
    </row>
    <row r="19" spans="1:17">
      <c r="B19">
        <v>97</v>
      </c>
      <c r="E19" t="s">
        <v>59</v>
      </c>
      <c r="F19">
        <f>AVERAGE(B12:B22)</f>
        <v>96.181818181818187</v>
      </c>
      <c r="P19">
        <f>AVERAGE(B12:B22)</f>
        <v>96.181818181818187</v>
      </c>
    </row>
    <row r="20" spans="1:17">
      <c r="B20">
        <v>99</v>
      </c>
      <c r="E20" t="s">
        <v>60</v>
      </c>
      <c r="F20">
        <f>_xlfn.STDEV.S(B12:B22)</f>
        <v>4.3547257506801005</v>
      </c>
      <c r="P20">
        <f>_xlfn.STDEV.S(B12:B22)</f>
        <v>4.3547257506801005</v>
      </c>
    </row>
    <row r="21" spans="1:17">
      <c r="B21">
        <v>99</v>
      </c>
    </row>
    <row r="22" spans="1:17">
      <c r="B22">
        <v>105</v>
      </c>
      <c r="E22" t="s">
        <v>61</v>
      </c>
      <c r="Q22">
        <v>97</v>
      </c>
    </row>
    <row r="23" spans="1:17">
      <c r="E23" t="s">
        <v>62</v>
      </c>
      <c r="Q23">
        <f>P19-Q22/(P20/SQRT(P18))</f>
        <v>22.305155658528349</v>
      </c>
    </row>
    <row r="25" spans="1:17">
      <c r="E25" t="s">
        <v>63</v>
      </c>
      <c r="P25">
        <f>P18-1</f>
        <v>10</v>
      </c>
    </row>
    <row r="26" spans="1:17">
      <c r="E26" t="s">
        <v>57</v>
      </c>
      <c r="P26">
        <f>_xlfn.T.DIST.2T(Q23,P25)</f>
        <v>7.369385850322817E-10</v>
      </c>
      <c r="Q26" t="str">
        <f>IF(P26&gt;=0.05,"reject null hypothesis","accept null hypothesis")</f>
        <v>accept null hypothesis</v>
      </c>
    </row>
    <row r="28" spans="1:17">
      <c r="E28" t="s">
        <v>93</v>
      </c>
      <c r="F28" t="s">
        <v>94</v>
      </c>
    </row>
    <row r="32" spans="1:17">
      <c r="A32" t="s">
        <v>43</v>
      </c>
    </row>
    <row r="34" spans="2:18">
      <c r="B34" t="s">
        <v>44</v>
      </c>
      <c r="C34" t="s">
        <v>45</v>
      </c>
      <c r="P34" t="s">
        <v>46</v>
      </c>
    </row>
    <row r="35" spans="2:18" ht="15" thickBot="1"/>
    <row r="36" spans="2:18">
      <c r="B36">
        <v>82</v>
      </c>
      <c r="C36">
        <v>90</v>
      </c>
      <c r="P36" s="6"/>
      <c r="Q36" s="6" t="s">
        <v>47</v>
      </c>
      <c r="R36" s="6" t="s">
        <v>48</v>
      </c>
    </row>
    <row r="37" spans="2:18">
      <c r="B37">
        <v>84</v>
      </c>
      <c r="C37">
        <v>91</v>
      </c>
      <c r="P37" s="4" t="s">
        <v>20</v>
      </c>
      <c r="Q37" s="4">
        <v>91.909090909090907</v>
      </c>
      <c r="R37" s="4">
        <v>173.18181818181819</v>
      </c>
    </row>
    <row r="38" spans="2:18">
      <c r="B38">
        <v>85</v>
      </c>
      <c r="C38">
        <v>91</v>
      </c>
      <c r="P38" s="4" t="s">
        <v>49</v>
      </c>
      <c r="Q38" s="4">
        <v>125</v>
      </c>
      <c r="R38" s="4">
        <v>125</v>
      </c>
    </row>
    <row r="39" spans="2:18">
      <c r="B39">
        <v>89</v>
      </c>
      <c r="C39">
        <v>919</v>
      </c>
      <c r="P39" s="4" t="s">
        <v>50</v>
      </c>
      <c r="Q39" s="4">
        <v>11</v>
      </c>
      <c r="R39" s="4">
        <v>11</v>
      </c>
    </row>
    <row r="40" spans="2:18">
      <c r="B40">
        <v>91</v>
      </c>
      <c r="C40">
        <v>95</v>
      </c>
      <c r="P40" s="4" t="s">
        <v>51</v>
      </c>
      <c r="Q40" s="4">
        <v>0</v>
      </c>
      <c r="R40" s="4"/>
    </row>
    <row r="41" spans="2:18">
      <c r="B41">
        <v>91</v>
      </c>
      <c r="C41">
        <v>95</v>
      </c>
      <c r="P41" s="4" t="s">
        <v>52</v>
      </c>
      <c r="Q41" s="4">
        <v>-17.047911095711193</v>
      </c>
      <c r="R41" s="4"/>
    </row>
    <row r="42" spans="2:18">
      <c r="B42">
        <v>92</v>
      </c>
      <c r="C42">
        <v>99</v>
      </c>
      <c r="P42" s="4" t="s">
        <v>53</v>
      </c>
      <c r="Q42" s="4">
        <v>0</v>
      </c>
      <c r="R42" s="4"/>
    </row>
    <row r="43" spans="2:18">
      <c r="B43">
        <v>94</v>
      </c>
      <c r="C43">
        <v>99</v>
      </c>
      <c r="P43" s="4" t="s">
        <v>54</v>
      </c>
      <c r="Q43" s="4">
        <v>1.6448536269514715</v>
      </c>
      <c r="R43" s="4"/>
    </row>
    <row r="44" spans="2:18">
      <c r="B44">
        <v>99</v>
      </c>
      <c r="C44">
        <v>108</v>
      </c>
      <c r="P44" s="4" t="s">
        <v>55</v>
      </c>
      <c r="Q44" s="4">
        <v>0</v>
      </c>
      <c r="R44" s="4"/>
    </row>
    <row r="45" spans="2:18" ht="15" thickBot="1">
      <c r="B45">
        <v>99</v>
      </c>
      <c r="C45">
        <v>109</v>
      </c>
      <c r="P45" s="5" t="s">
        <v>56</v>
      </c>
      <c r="Q45" s="5">
        <v>1.9599639845400536</v>
      </c>
      <c r="R45" s="5"/>
    </row>
    <row r="46" spans="2:18">
      <c r="B46">
        <v>105</v>
      </c>
      <c r="C46">
        <v>109</v>
      </c>
    </row>
    <row r="53" spans="7:17"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</row>
    <row r="54" spans="7:17"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</row>
    <row r="55" spans="7:17"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</row>
    <row r="56" spans="7:17">
      <c r="G56" s="17"/>
      <c r="H56" s="21"/>
      <c r="I56" s="21"/>
      <c r="J56" s="17"/>
      <c r="K56" s="17"/>
      <c r="L56" s="17"/>
      <c r="M56" s="17"/>
      <c r="N56" s="17"/>
      <c r="O56" s="17"/>
      <c r="P56" s="17"/>
      <c r="Q56" s="17"/>
    </row>
    <row r="57" spans="7:17">
      <c r="G57" s="17"/>
      <c r="H57" s="4"/>
      <c r="I57" s="4"/>
      <c r="J57" s="17"/>
      <c r="K57" s="17"/>
      <c r="L57" s="17"/>
      <c r="M57" s="17"/>
      <c r="N57" s="17"/>
      <c r="O57" s="17"/>
      <c r="P57" s="17"/>
      <c r="Q57" s="17"/>
    </row>
    <row r="58" spans="7:17">
      <c r="G58" s="17"/>
      <c r="H58" s="4"/>
      <c r="I58" s="4"/>
      <c r="J58" s="17"/>
      <c r="K58" s="17"/>
      <c r="L58" s="17"/>
      <c r="M58" s="17"/>
      <c r="N58" s="17"/>
      <c r="O58" s="17"/>
      <c r="P58" s="17"/>
      <c r="Q58" s="17"/>
    </row>
    <row r="59" spans="7:17">
      <c r="G59" s="17"/>
      <c r="H59" s="4"/>
      <c r="I59" s="4"/>
      <c r="J59" s="17"/>
      <c r="K59" s="17"/>
      <c r="L59" s="17"/>
      <c r="M59" s="17"/>
      <c r="N59" s="17"/>
      <c r="O59" s="17"/>
      <c r="P59" s="17"/>
      <c r="Q59" s="17"/>
    </row>
    <row r="60" spans="7:17">
      <c r="G60" s="17"/>
      <c r="H60" s="4"/>
      <c r="I60" s="4"/>
      <c r="J60" s="17"/>
      <c r="K60" s="17"/>
      <c r="L60" s="17"/>
      <c r="M60" s="17"/>
      <c r="N60" s="17"/>
      <c r="O60" s="17"/>
      <c r="P60" s="17"/>
      <c r="Q60" s="17"/>
    </row>
    <row r="61" spans="7:17">
      <c r="G61" s="17"/>
      <c r="H61" s="4"/>
      <c r="I61" s="4"/>
      <c r="J61" s="17"/>
      <c r="K61" s="17"/>
      <c r="L61" s="17"/>
      <c r="M61" s="17"/>
      <c r="N61" s="17"/>
      <c r="O61" s="17"/>
      <c r="P61" s="17"/>
      <c r="Q61" s="17"/>
    </row>
    <row r="62" spans="7:17">
      <c r="G62" s="17"/>
      <c r="H62" s="4"/>
      <c r="I62" s="4"/>
      <c r="J62" s="17"/>
      <c r="K62" s="17"/>
      <c r="L62" s="17"/>
      <c r="M62" s="17"/>
      <c r="N62" s="17"/>
      <c r="O62" s="17"/>
      <c r="P62" s="17"/>
      <c r="Q62" s="17"/>
    </row>
    <row r="63" spans="7:17">
      <c r="G63" s="17"/>
      <c r="H63" s="4"/>
      <c r="I63" s="4"/>
      <c r="J63" s="17"/>
      <c r="K63" s="17"/>
      <c r="L63" s="17"/>
      <c r="M63" s="17"/>
      <c r="N63" s="17"/>
      <c r="O63" s="17"/>
      <c r="P63" s="17"/>
      <c r="Q63" s="17"/>
    </row>
    <row r="64" spans="7:17">
      <c r="G64" s="17"/>
      <c r="H64" s="4"/>
      <c r="I64" s="4"/>
      <c r="J64" s="17"/>
      <c r="K64" s="17"/>
      <c r="L64" s="17"/>
      <c r="M64" s="17"/>
      <c r="N64" s="17"/>
      <c r="O64" s="17"/>
      <c r="P64" s="17"/>
      <c r="Q64" s="17"/>
    </row>
    <row r="65" spans="7:17">
      <c r="G65" s="17"/>
      <c r="H65" s="4"/>
      <c r="I65" s="4"/>
      <c r="J65" s="17"/>
      <c r="K65" s="17"/>
      <c r="L65" s="17"/>
      <c r="M65" s="17"/>
      <c r="N65" s="17"/>
      <c r="O65" s="17"/>
      <c r="P65" s="17"/>
      <c r="Q65" s="17"/>
    </row>
    <row r="66" spans="7:17">
      <c r="G66" s="17"/>
      <c r="H66" s="4"/>
      <c r="I66" s="4"/>
      <c r="J66" s="17"/>
      <c r="K66" s="17"/>
      <c r="L66" s="17"/>
      <c r="M66" s="17"/>
      <c r="N66" s="17"/>
      <c r="O66" s="17"/>
      <c r="P66" s="17"/>
      <c r="Q66" s="17"/>
    </row>
    <row r="67" spans="7:17">
      <c r="G67" s="17"/>
      <c r="H67" s="4"/>
      <c r="I67" s="4"/>
      <c r="J67" s="17"/>
      <c r="K67" s="17"/>
      <c r="L67" s="17"/>
      <c r="M67" s="17"/>
      <c r="N67" s="17"/>
      <c r="O67" s="17"/>
      <c r="P67" s="17"/>
      <c r="Q67" s="17"/>
    </row>
    <row r="68" spans="7:17">
      <c r="G68" s="17"/>
      <c r="H68" s="4"/>
      <c r="I68" s="4"/>
      <c r="J68" s="17"/>
      <c r="K68" s="17"/>
      <c r="L68" s="17"/>
      <c r="M68" s="17"/>
      <c r="N68" s="17"/>
      <c r="O68" s="17"/>
      <c r="P68" s="17"/>
      <c r="Q68" s="17"/>
    </row>
    <row r="69" spans="7:17">
      <c r="G69" s="17"/>
      <c r="H69" s="4"/>
      <c r="I69" s="4"/>
      <c r="J69" s="17"/>
      <c r="K69" s="17"/>
      <c r="L69" s="17"/>
      <c r="M69" s="17"/>
      <c r="N69" s="17"/>
      <c r="O69" s="17"/>
      <c r="P69" s="17"/>
      <c r="Q69" s="17"/>
    </row>
    <row r="70" spans="7:17">
      <c r="G70" s="17"/>
      <c r="H70" s="4"/>
      <c r="I70" s="4"/>
      <c r="J70" s="17"/>
      <c r="K70" s="17"/>
      <c r="L70" s="17"/>
      <c r="M70" s="17"/>
      <c r="N70" s="17"/>
      <c r="O70" s="17"/>
      <c r="P70" s="17"/>
      <c r="Q70" s="17"/>
    </row>
    <row r="71" spans="7:17">
      <c r="G71" s="17"/>
      <c r="H71" s="4"/>
      <c r="I71" s="4"/>
      <c r="J71" s="17"/>
      <c r="K71" s="17"/>
      <c r="L71" s="17"/>
      <c r="M71" s="17"/>
      <c r="N71" s="17"/>
      <c r="O71" s="17"/>
      <c r="P71" s="17"/>
      <c r="Q71" s="17"/>
    </row>
    <row r="72" spans="7:17"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</row>
    <row r="73" spans="7:17"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</row>
    <row r="74" spans="7:17"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</row>
    <row r="75" spans="7:17"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</row>
    <row r="76" spans="7:17"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</row>
    <row r="77" spans="7:17"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</row>
    <row r="78" spans="7:17"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</row>
    <row r="79" spans="7:17"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</row>
    <row r="80" spans="7:17"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</row>
    <row r="81" spans="7:17"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</row>
    <row r="82" spans="7:17"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</row>
    <row r="83" spans="7:17"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</row>
    <row r="84" spans="7:17"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</row>
    <row r="85" spans="7:17"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</row>
    <row r="86" spans="7:17"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</row>
    <row r="87" spans="7:17">
      <c r="G87" s="17"/>
      <c r="H87" s="21"/>
      <c r="I87" s="21"/>
      <c r="J87" s="17"/>
      <c r="K87" s="21"/>
      <c r="L87" s="21"/>
      <c r="M87" s="17"/>
      <c r="N87" s="21"/>
      <c r="O87" s="21"/>
      <c r="P87" s="17"/>
      <c r="Q87" s="17"/>
    </row>
    <row r="88" spans="7:17">
      <c r="G88" s="17"/>
      <c r="H88" s="4"/>
      <c r="I88" s="4"/>
      <c r="J88" s="17"/>
      <c r="K88" s="4"/>
      <c r="L88" s="4"/>
      <c r="M88" s="17"/>
      <c r="N88" s="4"/>
      <c r="O88" s="4"/>
      <c r="P88" s="17"/>
      <c r="Q88" s="17"/>
    </row>
    <row r="89" spans="7:17">
      <c r="G89" s="17"/>
      <c r="H89" s="4"/>
      <c r="I89" s="4"/>
      <c r="J89" s="17"/>
      <c r="K89" s="4"/>
      <c r="L89" s="4"/>
      <c r="M89" s="17"/>
      <c r="N89" s="4"/>
      <c r="O89" s="4"/>
      <c r="P89" s="17"/>
      <c r="Q89" s="17"/>
    </row>
    <row r="90" spans="7:17">
      <c r="G90" s="17"/>
      <c r="H90" s="4"/>
      <c r="I90" s="4"/>
      <c r="J90" s="17"/>
      <c r="K90" s="4"/>
      <c r="L90" s="4"/>
      <c r="M90" s="17"/>
      <c r="N90" s="4"/>
      <c r="O90" s="4"/>
      <c r="P90" s="17"/>
      <c r="Q90" s="17"/>
    </row>
    <row r="91" spans="7:17">
      <c r="G91" s="17"/>
      <c r="H91" s="4"/>
      <c r="I91" s="4"/>
      <c r="J91" s="17"/>
      <c r="K91" s="4"/>
      <c r="L91" s="4"/>
      <c r="M91" s="17"/>
      <c r="N91" s="4"/>
      <c r="O91" s="4"/>
      <c r="P91" s="17"/>
      <c r="Q91" s="17"/>
    </row>
    <row r="92" spans="7:17">
      <c r="G92" s="17"/>
      <c r="H92" s="4"/>
      <c r="I92" s="4"/>
      <c r="J92" s="17"/>
      <c r="K92" s="4"/>
      <c r="L92" s="4"/>
      <c r="M92" s="17"/>
      <c r="N92" s="4"/>
      <c r="O92" s="4"/>
      <c r="P92" s="17"/>
      <c r="Q92" s="17"/>
    </row>
    <row r="93" spans="7:17">
      <c r="G93" s="17"/>
      <c r="H93" s="4"/>
      <c r="I93" s="4"/>
      <c r="J93" s="17"/>
      <c r="K93" s="4"/>
      <c r="L93" s="4"/>
      <c r="M93" s="17"/>
      <c r="N93" s="4"/>
      <c r="O93" s="4"/>
      <c r="P93" s="17"/>
      <c r="Q93" s="17"/>
    </row>
    <row r="94" spans="7:17">
      <c r="G94" s="17"/>
      <c r="H94" s="4"/>
      <c r="I94" s="4"/>
      <c r="J94" s="17"/>
      <c r="K94" s="4"/>
      <c r="L94" s="4"/>
      <c r="M94" s="17"/>
      <c r="N94" s="4"/>
      <c r="O94" s="4"/>
      <c r="P94" s="17"/>
      <c r="Q94" s="17"/>
    </row>
    <row r="95" spans="7:17">
      <c r="G95" s="17"/>
      <c r="H95" s="4"/>
      <c r="I95" s="4"/>
      <c r="J95" s="17"/>
      <c r="K95" s="4"/>
      <c r="L95" s="4"/>
      <c r="M95" s="17"/>
      <c r="N95" s="4"/>
      <c r="O95" s="4"/>
      <c r="P95" s="17"/>
      <c r="Q95" s="17"/>
    </row>
    <row r="96" spans="7:17">
      <c r="G96" s="17"/>
      <c r="H96" s="4"/>
      <c r="I96" s="4"/>
      <c r="J96" s="17"/>
      <c r="K96" s="4"/>
      <c r="L96" s="4"/>
      <c r="M96" s="17"/>
      <c r="N96" s="4"/>
      <c r="O96" s="4"/>
      <c r="P96" s="17"/>
      <c r="Q96" s="17"/>
    </row>
    <row r="97" spans="7:17">
      <c r="G97" s="17"/>
      <c r="H97" s="4"/>
      <c r="I97" s="4"/>
      <c r="J97" s="17"/>
      <c r="K97" s="4"/>
      <c r="L97" s="4"/>
      <c r="M97" s="17"/>
      <c r="N97" s="4"/>
      <c r="O97" s="4"/>
      <c r="P97" s="17"/>
      <c r="Q97" s="17"/>
    </row>
    <row r="98" spans="7:17">
      <c r="G98" s="17"/>
      <c r="H98" s="4"/>
      <c r="I98" s="4"/>
      <c r="J98" s="17"/>
      <c r="K98" s="4"/>
      <c r="L98" s="4"/>
      <c r="M98" s="17"/>
      <c r="N98" s="4"/>
      <c r="O98" s="4"/>
      <c r="P98" s="17"/>
      <c r="Q98" s="17"/>
    </row>
    <row r="99" spans="7:17">
      <c r="G99" s="17"/>
      <c r="H99" s="4"/>
      <c r="I99" s="4"/>
      <c r="J99" s="17"/>
      <c r="K99" s="4"/>
      <c r="L99" s="4"/>
      <c r="M99" s="17"/>
      <c r="N99" s="4"/>
      <c r="O99" s="4"/>
      <c r="P99" s="17"/>
      <c r="Q99" s="17"/>
    </row>
    <row r="100" spans="7:17">
      <c r="G100" s="17"/>
      <c r="H100" s="4"/>
      <c r="I100" s="4"/>
      <c r="J100" s="17"/>
      <c r="K100" s="4"/>
      <c r="L100" s="4"/>
      <c r="M100" s="17"/>
      <c r="N100" s="4"/>
      <c r="O100" s="4"/>
      <c r="P100" s="17"/>
      <c r="Q100" s="17"/>
    </row>
    <row r="101" spans="7:17">
      <c r="G101" s="17"/>
      <c r="H101" s="4"/>
      <c r="I101" s="4"/>
      <c r="J101" s="17"/>
      <c r="K101" s="4"/>
      <c r="L101" s="4"/>
      <c r="M101" s="17"/>
      <c r="N101" s="4"/>
      <c r="O101" s="4"/>
      <c r="P101" s="17"/>
      <c r="Q101" s="17"/>
    </row>
    <row r="102" spans="7:17">
      <c r="G102" s="17"/>
      <c r="H102" s="4"/>
      <c r="I102" s="4"/>
      <c r="J102" s="17"/>
      <c r="K102" s="4"/>
      <c r="L102" s="4"/>
      <c r="M102" s="17"/>
      <c r="N102" s="4"/>
      <c r="O102" s="4"/>
      <c r="P102" s="17"/>
      <c r="Q102" s="17"/>
    </row>
    <row r="103" spans="7:17"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</row>
    <row r="104" spans="7:17"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</row>
    <row r="105" spans="7:17"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</row>
    <row r="106" spans="7:17"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</row>
    <row r="107" spans="7:17"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</row>
    <row r="108" spans="7:17"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</row>
    <row r="109" spans="7:17"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</row>
    <row r="110" spans="7:17"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</row>
    <row r="111" spans="7:17"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</row>
    <row r="112" spans="7:17"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</row>
    <row r="113" spans="3:17"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</row>
    <row r="114" spans="3:17"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</row>
    <row r="115" spans="3:17">
      <c r="D115" s="12"/>
      <c r="G115" s="22"/>
      <c r="H115" s="17"/>
      <c r="I115" s="17"/>
      <c r="J115" s="23"/>
      <c r="K115" s="17"/>
      <c r="L115" s="17"/>
      <c r="M115" s="17"/>
      <c r="N115" s="17"/>
      <c r="O115" s="17"/>
      <c r="P115" s="17"/>
      <c r="Q115" s="17"/>
    </row>
    <row r="116" spans="3:17">
      <c r="D116" s="12"/>
      <c r="G116" s="22"/>
      <c r="H116" s="17"/>
      <c r="I116" s="17"/>
      <c r="J116" s="23"/>
      <c r="K116" s="17"/>
      <c r="L116" s="17"/>
      <c r="M116" s="17"/>
      <c r="N116" s="17"/>
      <c r="O116" s="17"/>
      <c r="P116" s="17"/>
      <c r="Q116" s="17"/>
    </row>
    <row r="117" spans="3:17">
      <c r="D117" s="12"/>
      <c r="G117" s="22"/>
      <c r="H117" s="17"/>
      <c r="I117" s="17"/>
      <c r="J117" s="23"/>
      <c r="K117" s="17"/>
      <c r="L117" s="17"/>
      <c r="M117" s="17"/>
      <c r="N117" s="17"/>
      <c r="O117" s="17"/>
      <c r="P117" s="17"/>
      <c r="Q117" s="17"/>
    </row>
    <row r="118" spans="3:17">
      <c r="D118" s="12"/>
      <c r="G118" s="22"/>
      <c r="H118" s="17"/>
      <c r="I118" s="17"/>
      <c r="J118" s="23"/>
      <c r="K118" s="17"/>
      <c r="L118" s="17"/>
      <c r="M118" s="17"/>
      <c r="N118" s="17"/>
      <c r="O118" s="17"/>
      <c r="P118" s="17"/>
      <c r="Q118" s="17"/>
    </row>
    <row r="119" spans="3:17">
      <c r="C119" s="17"/>
      <c r="D119" s="22"/>
      <c r="E119" s="17"/>
      <c r="G119" s="22"/>
      <c r="H119" s="17"/>
      <c r="I119" s="17"/>
      <c r="J119" s="23"/>
      <c r="K119" s="17"/>
      <c r="L119" s="17"/>
      <c r="M119" s="17"/>
      <c r="N119" s="17"/>
      <c r="O119" s="17"/>
      <c r="P119" s="17"/>
      <c r="Q119" s="17"/>
    </row>
    <row r="120" spans="3:17">
      <c r="C120" s="17"/>
      <c r="D120" s="22"/>
      <c r="E120" s="17"/>
      <c r="G120" s="22"/>
      <c r="H120" s="17"/>
      <c r="I120" s="17"/>
      <c r="J120" s="23"/>
      <c r="K120" s="17"/>
      <c r="L120" s="17"/>
      <c r="M120" s="17"/>
      <c r="N120" s="17"/>
      <c r="O120" s="17"/>
      <c r="P120" s="17"/>
      <c r="Q120" s="17"/>
    </row>
    <row r="121" spans="3:17">
      <c r="C121" s="17"/>
      <c r="D121" s="22"/>
      <c r="E121" s="17"/>
      <c r="G121" s="22"/>
      <c r="H121" s="17"/>
      <c r="I121" s="17"/>
      <c r="J121" s="23"/>
      <c r="K121" s="17"/>
      <c r="L121" s="17"/>
      <c r="M121" s="17"/>
      <c r="N121" s="17"/>
      <c r="O121" s="17"/>
      <c r="P121" s="17"/>
      <c r="Q121" s="17"/>
    </row>
    <row r="122" spans="3:17">
      <c r="C122" s="17"/>
      <c r="D122" s="22"/>
      <c r="E122" s="17"/>
      <c r="G122" s="22"/>
      <c r="H122" s="17"/>
      <c r="I122" s="17"/>
      <c r="J122" s="23"/>
      <c r="K122" s="17"/>
      <c r="L122" s="17"/>
      <c r="M122" s="17"/>
      <c r="N122" s="17"/>
      <c r="O122" s="17"/>
      <c r="P122" s="17"/>
      <c r="Q122" s="17"/>
    </row>
    <row r="123" spans="3:17">
      <c r="C123" s="17"/>
      <c r="D123" s="22"/>
      <c r="E123" s="17"/>
      <c r="G123" s="22"/>
      <c r="H123" s="17"/>
      <c r="I123" s="17"/>
      <c r="J123" s="23"/>
      <c r="K123" s="17"/>
      <c r="L123" s="24"/>
      <c r="M123" s="17"/>
      <c r="N123" s="17"/>
      <c r="O123" s="17"/>
      <c r="P123" s="17"/>
      <c r="Q123" s="17"/>
    </row>
    <row r="124" spans="3:17">
      <c r="C124" s="17"/>
      <c r="D124" s="22"/>
      <c r="E124" s="17"/>
      <c r="G124" s="22"/>
      <c r="H124" s="17"/>
      <c r="I124" s="17"/>
      <c r="J124" s="23"/>
      <c r="K124" s="17"/>
      <c r="L124" s="17"/>
      <c r="M124" s="17"/>
      <c r="N124" s="17"/>
      <c r="O124" s="17"/>
      <c r="P124" s="17"/>
      <c r="Q124" s="17"/>
    </row>
    <row r="125" spans="3:17">
      <c r="C125" s="17"/>
      <c r="D125" s="22"/>
      <c r="E125" s="17"/>
      <c r="G125" s="22"/>
      <c r="H125" s="17"/>
      <c r="I125" s="17"/>
      <c r="J125" s="23"/>
      <c r="K125" s="17"/>
      <c r="L125" s="17"/>
      <c r="M125" s="17"/>
      <c r="N125" s="17"/>
      <c r="O125" s="17"/>
      <c r="P125" s="17"/>
      <c r="Q125" s="17"/>
    </row>
    <row r="126" spans="3:17">
      <c r="C126" s="17"/>
      <c r="D126" s="22"/>
      <c r="E126" s="17"/>
      <c r="G126" s="22"/>
      <c r="H126" s="17"/>
      <c r="I126" s="17"/>
      <c r="J126" s="23"/>
      <c r="K126" s="17"/>
      <c r="L126" s="17"/>
      <c r="M126" s="17"/>
      <c r="N126" s="17"/>
      <c r="O126" s="17"/>
      <c r="P126" s="17"/>
      <c r="Q126" s="17"/>
    </row>
    <row r="127" spans="3:17">
      <c r="C127" s="17"/>
      <c r="D127" s="17"/>
      <c r="E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</row>
    <row r="128" spans="3:17">
      <c r="C128" s="17"/>
      <c r="D128" s="17"/>
      <c r="E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</row>
    <row r="129" spans="3:17">
      <c r="C129" s="17"/>
      <c r="D129" s="17"/>
      <c r="E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</row>
    <row r="130" spans="3:17">
      <c r="C130" s="17"/>
      <c r="D130" s="21"/>
      <c r="E130" s="21"/>
      <c r="G130" s="21"/>
      <c r="H130" s="21"/>
      <c r="I130" s="17"/>
      <c r="J130" s="21"/>
      <c r="K130" s="21"/>
      <c r="L130" s="17"/>
      <c r="M130" s="17"/>
      <c r="N130" s="17"/>
      <c r="O130" s="17"/>
      <c r="P130" s="17"/>
      <c r="Q130" s="17"/>
    </row>
    <row r="131" spans="3:17">
      <c r="C131" s="17"/>
      <c r="D131" s="4"/>
      <c r="E131" s="4"/>
      <c r="G131" s="4"/>
      <c r="H131" s="4"/>
      <c r="I131" s="17"/>
      <c r="J131" s="4"/>
      <c r="K131" s="4"/>
      <c r="L131" s="17"/>
      <c r="M131" s="17"/>
      <c r="N131" s="17"/>
      <c r="O131" s="17"/>
      <c r="P131" s="17"/>
      <c r="Q131" s="17"/>
    </row>
    <row r="132" spans="3:17">
      <c r="C132" s="17"/>
      <c r="D132" s="4"/>
      <c r="E132" s="4"/>
      <c r="G132" s="4"/>
      <c r="H132" s="4"/>
      <c r="I132" s="17"/>
      <c r="J132" s="4"/>
      <c r="K132" s="4"/>
      <c r="L132" s="17"/>
      <c r="M132" s="17"/>
      <c r="N132" s="17"/>
      <c r="O132" s="17"/>
      <c r="P132" s="17"/>
      <c r="Q132" s="17"/>
    </row>
    <row r="133" spans="3:17">
      <c r="C133" s="17"/>
      <c r="D133" s="4"/>
      <c r="E133" s="4"/>
      <c r="G133" s="4"/>
      <c r="H133" s="4"/>
      <c r="I133" s="17"/>
      <c r="J133" s="4"/>
      <c r="K133" s="4"/>
      <c r="L133" s="17"/>
      <c r="M133" s="17"/>
      <c r="N133" s="17"/>
      <c r="O133" s="17"/>
      <c r="P133" s="17"/>
      <c r="Q133" s="17"/>
    </row>
    <row r="134" spans="3:17">
      <c r="C134" s="17"/>
      <c r="D134" s="4"/>
      <c r="E134" s="4"/>
      <c r="G134" s="4"/>
      <c r="H134" s="4"/>
      <c r="I134" s="17"/>
      <c r="J134" s="4"/>
      <c r="K134" s="4"/>
      <c r="L134" s="17"/>
      <c r="M134" s="17"/>
      <c r="N134" s="17"/>
      <c r="O134" s="17"/>
      <c r="P134" s="17"/>
      <c r="Q134" s="17"/>
    </row>
    <row r="135" spans="3:17">
      <c r="C135" s="17"/>
      <c r="D135" s="4"/>
      <c r="E135" s="4"/>
      <c r="G135" s="4"/>
      <c r="H135" s="4"/>
      <c r="I135" s="17"/>
      <c r="J135" s="4"/>
      <c r="K135" s="4"/>
      <c r="L135" s="17"/>
      <c r="M135" s="17"/>
      <c r="N135" s="17"/>
      <c r="O135" s="17"/>
      <c r="P135" s="17"/>
      <c r="Q135" s="17"/>
    </row>
    <row r="136" spans="3:17">
      <c r="C136" s="17"/>
      <c r="D136" s="4"/>
      <c r="E136" s="4"/>
      <c r="G136" s="4"/>
      <c r="H136" s="4"/>
      <c r="I136" s="17"/>
      <c r="J136" s="4"/>
      <c r="K136" s="4"/>
      <c r="L136" s="17"/>
      <c r="M136" s="17"/>
      <c r="N136" s="17"/>
      <c r="O136" s="17"/>
      <c r="P136" s="17"/>
      <c r="Q136" s="17"/>
    </row>
    <row r="137" spans="3:17">
      <c r="C137" s="17"/>
      <c r="D137" s="4"/>
      <c r="E137" s="4"/>
      <c r="G137" s="4"/>
      <c r="H137" s="4"/>
      <c r="I137" s="17"/>
      <c r="J137" s="4"/>
      <c r="K137" s="4"/>
      <c r="L137" s="17"/>
      <c r="M137" s="17"/>
      <c r="N137" s="17"/>
      <c r="O137" s="17"/>
      <c r="P137" s="17"/>
      <c r="Q137" s="17"/>
    </row>
    <row r="138" spans="3:17">
      <c r="C138" s="17"/>
      <c r="D138" s="4"/>
      <c r="E138" s="4"/>
      <c r="G138" s="4"/>
      <c r="H138" s="4"/>
      <c r="I138" s="17"/>
      <c r="J138" s="4"/>
      <c r="K138" s="4"/>
      <c r="L138" s="17"/>
      <c r="M138" s="17"/>
      <c r="N138" s="17"/>
      <c r="O138" s="17"/>
      <c r="P138" s="17"/>
      <c r="Q138" s="17"/>
    </row>
    <row r="139" spans="3:17">
      <c r="C139" s="17"/>
      <c r="D139" s="4"/>
      <c r="E139" s="4"/>
      <c r="G139" s="4"/>
      <c r="H139" s="4"/>
      <c r="I139" s="17"/>
      <c r="J139" s="4"/>
      <c r="K139" s="4"/>
      <c r="L139" s="17"/>
      <c r="M139" s="17"/>
      <c r="N139" s="17"/>
      <c r="O139" s="17"/>
      <c r="P139" s="17"/>
      <c r="Q139" s="17"/>
    </row>
    <row r="140" spans="3:17">
      <c r="C140" s="17"/>
      <c r="D140" s="4"/>
      <c r="E140" s="4"/>
      <c r="G140" s="4"/>
      <c r="H140" s="4"/>
      <c r="I140" s="17"/>
      <c r="J140" s="4"/>
      <c r="K140" s="4"/>
      <c r="L140" s="17"/>
      <c r="M140" s="17"/>
      <c r="N140" s="17"/>
      <c r="O140" s="17"/>
      <c r="P140" s="17"/>
      <c r="Q140" s="17"/>
    </row>
    <row r="141" spans="3:17">
      <c r="C141" s="17"/>
      <c r="D141" s="4"/>
      <c r="E141" s="4"/>
      <c r="G141" s="4"/>
      <c r="H141" s="4"/>
      <c r="I141" s="17"/>
      <c r="J141" s="4"/>
      <c r="K141" s="4"/>
      <c r="L141" s="17"/>
      <c r="M141" s="17"/>
      <c r="N141" s="17"/>
      <c r="O141" s="17"/>
      <c r="P141" s="17"/>
      <c r="Q141" s="17"/>
    </row>
    <row r="142" spans="3:17">
      <c r="C142" s="17"/>
      <c r="D142" s="4"/>
      <c r="E142" s="4"/>
      <c r="G142" s="4"/>
      <c r="H142" s="4"/>
      <c r="I142" s="17"/>
      <c r="J142" s="4"/>
      <c r="K142" s="4"/>
      <c r="L142" s="17"/>
      <c r="M142" s="17"/>
      <c r="N142" s="17"/>
      <c r="O142" s="17"/>
      <c r="P142" s="17"/>
      <c r="Q142" s="17"/>
    </row>
    <row r="143" spans="3:17">
      <c r="C143" s="17"/>
      <c r="D143" s="4"/>
      <c r="E143" s="4"/>
      <c r="G143" s="4"/>
      <c r="H143" s="4"/>
      <c r="I143" s="17"/>
      <c r="J143" s="4"/>
      <c r="K143" s="4"/>
      <c r="L143" s="17"/>
      <c r="M143" s="17"/>
      <c r="N143" s="17"/>
      <c r="O143" s="17"/>
      <c r="P143" s="17"/>
      <c r="Q143" s="17"/>
    </row>
    <row r="144" spans="3:17">
      <c r="C144" s="17"/>
      <c r="D144" s="4"/>
      <c r="E144" s="4"/>
      <c r="G144" s="4"/>
      <c r="H144" s="4"/>
      <c r="I144" s="17"/>
      <c r="J144" s="4"/>
      <c r="K144" s="4"/>
      <c r="L144" s="17"/>
      <c r="M144" s="17"/>
      <c r="N144" s="17"/>
      <c r="O144" s="17"/>
      <c r="P144" s="17"/>
      <c r="Q144" s="17"/>
    </row>
    <row r="145" spans="3:17">
      <c r="C145" s="17"/>
      <c r="D145" s="4"/>
      <c r="E145" s="4"/>
      <c r="G145" s="4"/>
      <c r="H145" s="4"/>
      <c r="I145" s="17"/>
      <c r="J145" s="4"/>
      <c r="K145" s="4"/>
      <c r="L145" s="17"/>
      <c r="M145" s="17"/>
      <c r="N145" s="17"/>
      <c r="O145" s="17"/>
      <c r="P145" s="17"/>
      <c r="Q145" s="17"/>
    </row>
    <row r="146" spans="3:17">
      <c r="C146" s="17"/>
      <c r="D146" s="17"/>
      <c r="E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</row>
    <row r="147" spans="3:17">
      <c r="C147" s="17"/>
      <c r="D147" s="17"/>
      <c r="E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</row>
    <row r="148" spans="3:17">
      <c r="C148" s="17"/>
      <c r="D148" s="17"/>
      <c r="E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</row>
    <row r="149" spans="3:17">
      <c r="C149" s="17"/>
      <c r="D149" s="17"/>
      <c r="E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</row>
    <row r="150" spans="3:17">
      <c r="C150" s="17"/>
      <c r="D150" s="17"/>
      <c r="E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</row>
    <row r="151" spans="3:17">
      <c r="C151" s="17"/>
      <c r="D151" s="17"/>
      <c r="E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</row>
    <row r="152" spans="3:17">
      <c r="C152" s="17"/>
      <c r="D152" s="17"/>
      <c r="E152" s="17"/>
    </row>
    <row r="153" spans="3:17">
      <c r="C153" s="17"/>
      <c r="D153" s="17"/>
      <c r="E153" s="17"/>
    </row>
    <row r="154" spans="3:17">
      <c r="C154" s="17"/>
      <c r="D154" s="17"/>
      <c r="E154" s="17"/>
    </row>
    <row r="155" spans="3:17">
      <c r="C155" s="17"/>
      <c r="D155" s="17"/>
      <c r="E155" s="17"/>
    </row>
    <row r="172" spans="4:11" ht="15" thickBot="1"/>
    <row r="173" spans="4:11">
      <c r="D173" s="7"/>
      <c r="E173" s="7"/>
      <c r="G173" s="7"/>
      <c r="H173" s="7"/>
      <c r="J173" s="7"/>
      <c r="K173" s="7"/>
    </row>
    <row r="174" spans="4:11">
      <c r="D174" s="4"/>
      <c r="E174" s="4"/>
      <c r="G174" s="4"/>
      <c r="H174" s="4"/>
      <c r="J174" s="4"/>
      <c r="K174" s="4"/>
    </row>
    <row r="175" spans="4:11">
      <c r="D175" s="4"/>
      <c r="E175" s="4"/>
      <c r="G175" s="4"/>
      <c r="H175" s="4"/>
      <c r="J175" s="4"/>
      <c r="K175" s="4"/>
    </row>
    <row r="176" spans="4:11">
      <c r="D176" s="4"/>
      <c r="E176" s="4"/>
      <c r="G176" s="4"/>
      <c r="H176" s="4"/>
      <c r="J176" s="4"/>
      <c r="K176" s="4"/>
    </row>
    <row r="177" spans="4:11">
      <c r="D177" s="4"/>
      <c r="E177" s="4"/>
      <c r="G177" s="4"/>
      <c r="H177" s="4"/>
      <c r="J177" s="4"/>
      <c r="K177" s="4"/>
    </row>
    <row r="178" spans="4:11">
      <c r="D178" s="4"/>
      <c r="E178" s="4"/>
      <c r="G178" s="4"/>
      <c r="H178" s="4"/>
      <c r="J178" s="4"/>
      <c r="K178" s="4"/>
    </row>
    <row r="179" spans="4:11">
      <c r="D179" s="4"/>
      <c r="E179" s="4"/>
      <c r="G179" s="4"/>
      <c r="H179" s="4"/>
      <c r="J179" s="4"/>
      <c r="K179" s="4"/>
    </row>
    <row r="180" spans="4:11">
      <c r="D180" s="4"/>
      <c r="E180" s="4"/>
      <c r="G180" s="4"/>
      <c r="H180" s="4"/>
      <c r="J180" s="4"/>
      <c r="K180" s="4"/>
    </row>
    <row r="181" spans="4:11">
      <c r="D181" s="4"/>
      <c r="E181" s="4"/>
      <c r="G181" s="4"/>
      <c r="H181" s="4"/>
      <c r="J181" s="4"/>
      <c r="K181" s="4"/>
    </row>
    <row r="182" spans="4:11">
      <c r="D182" s="4"/>
      <c r="E182" s="4"/>
      <c r="G182" s="4"/>
      <c r="H182" s="4"/>
      <c r="J182" s="4"/>
      <c r="K182" s="4"/>
    </row>
    <row r="183" spans="4:11">
      <c r="D183" s="4"/>
      <c r="E183" s="4"/>
      <c r="G183" s="4"/>
      <c r="H183" s="4"/>
      <c r="J183" s="4"/>
      <c r="K183" s="4"/>
    </row>
    <row r="184" spans="4:11">
      <c r="D184" s="4"/>
      <c r="E184" s="4"/>
      <c r="G184" s="4"/>
      <c r="H184" s="4"/>
      <c r="J184" s="4"/>
      <c r="K184" s="4"/>
    </row>
    <row r="185" spans="4:11">
      <c r="D185" s="4"/>
      <c r="E185" s="4"/>
      <c r="G185" s="4"/>
      <c r="H185" s="4"/>
      <c r="J185" s="4"/>
      <c r="K185" s="4"/>
    </row>
    <row r="186" spans="4:11">
      <c r="D186" s="4"/>
      <c r="E186" s="4"/>
      <c r="G186" s="4"/>
      <c r="H186" s="4"/>
      <c r="J186" s="4"/>
      <c r="K186" s="4"/>
    </row>
    <row r="187" spans="4:11">
      <c r="D187" s="4"/>
      <c r="E187" s="4"/>
      <c r="G187" s="4"/>
      <c r="H187" s="4"/>
      <c r="J187" s="4"/>
      <c r="K187" s="4"/>
    </row>
    <row r="188" spans="4:11" ht="15" thickBot="1">
      <c r="D188" s="5"/>
      <c r="E188" s="5"/>
      <c r="G188" s="5"/>
      <c r="H188" s="5"/>
      <c r="J188" s="5"/>
      <c r="K188" s="5"/>
    </row>
  </sheetData>
  <mergeCells count="1">
    <mergeCell ref="A2:P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descriptive template</vt:lpstr>
      <vt:lpstr>chisquare template</vt:lpstr>
      <vt:lpstr>chisquare table</vt:lpstr>
      <vt:lpstr>hypothesis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</dc:creator>
  <cp:lastModifiedBy>Aditi</cp:lastModifiedBy>
  <dcterms:created xsi:type="dcterms:W3CDTF">2023-05-12T09:29:27Z</dcterms:created>
  <dcterms:modified xsi:type="dcterms:W3CDTF">2023-06-14T20:33:17Z</dcterms:modified>
</cp:coreProperties>
</file>